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minerobonanza-my.sharepoint.com/personal/jescalante_grupominerobonanza_com/Documents/ROBIOTEC/SMART SORTER/DASHBOARD IA/"/>
    </mc:Choice>
  </mc:AlternateContent>
  <xr:revisionPtr revIDLastSave="11" documentId="11_18FD2AC716BE946E168388987CECDABA7BD22A37" xr6:coauthVersionLast="47" xr6:coauthVersionMax="47" xr10:uidLastSave="{5D84B40A-0862-4DF1-998B-08FFDA8DF086}"/>
  <bookViews>
    <workbookView minimized="1" xWindow="1470" yWindow="1470" windowWidth="17280" windowHeight="8925" tabRatio="500" xr2:uid="{00000000-000D-0000-FFFF-FFFF00000000}"/>
  </bookViews>
  <sheets>
    <sheet name="Datos" sheetId="1" r:id="rId1"/>
    <sheet name="Dashboard" sheetId="2" r:id="rId2"/>
    <sheet name="KPIs" sheetId="3" r:id="rId3"/>
    <sheet name="Calc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U3" i="1"/>
  <c r="U4" i="1"/>
  <c r="U5" i="1"/>
  <c r="U6" i="1"/>
  <c r="U7" i="1"/>
  <c r="U8" i="1"/>
  <c r="U9" i="1"/>
  <c r="T10" i="1"/>
  <c r="U10" i="1"/>
  <c r="U11" i="1"/>
  <c r="T11" i="1"/>
  <c r="W6" i="1" l="1"/>
  <c r="G11" i="1"/>
  <c r="Z3" i="1" l="1"/>
  <c r="S3" i="1" s="1"/>
  <c r="Z4" i="1"/>
  <c r="S4" i="1" s="1"/>
  <c r="AB4" i="1" s="1"/>
  <c r="Z5" i="1"/>
  <c r="S5" i="1" s="1"/>
  <c r="Z7" i="1"/>
  <c r="S7" i="1" s="1"/>
  <c r="Z8" i="1"/>
  <c r="S8" i="1" s="1"/>
  <c r="Z9" i="1"/>
  <c r="S9" i="1" s="1"/>
  <c r="AB9" i="1" s="1"/>
  <c r="Z10" i="1"/>
  <c r="S10" i="1" s="1"/>
  <c r="Z11" i="1"/>
  <c r="S11" i="1" s="1"/>
  <c r="Z6" i="1"/>
  <c r="S6" i="1" s="1"/>
  <c r="Y3" i="1"/>
  <c r="M3" i="1" s="1"/>
  <c r="AA3" i="1" s="1"/>
  <c r="Y4" i="1"/>
  <c r="M4" i="1" s="1"/>
  <c r="Y5" i="1"/>
  <c r="M5" i="1" s="1"/>
  <c r="AA5" i="1" s="1"/>
  <c r="Y8" i="1"/>
  <c r="M8" i="1" s="1"/>
  <c r="AA8" i="1" s="1"/>
  <c r="Y9" i="1"/>
  <c r="M9" i="1" s="1"/>
  <c r="AA9" i="1" s="1"/>
  <c r="Y10" i="1"/>
  <c r="M10" i="1" s="1"/>
  <c r="AA10" i="1" s="1"/>
  <c r="Y11" i="1"/>
  <c r="M11" i="1" s="1"/>
  <c r="AA11" i="1" s="1"/>
  <c r="Y7" i="1"/>
  <c r="M7" i="1" s="1"/>
  <c r="AA7" i="1" s="1"/>
  <c r="Y6" i="1"/>
  <c r="M6" i="1" s="1"/>
  <c r="AA6" i="1" s="1"/>
  <c r="W7" i="1"/>
  <c r="W8" i="1"/>
  <c r="W9" i="1"/>
  <c r="W10" i="1"/>
  <c r="W11" i="1"/>
  <c r="X9" i="1"/>
  <c r="X10" i="1"/>
  <c r="X11" i="1"/>
  <c r="X8" i="1"/>
  <c r="X7" i="1"/>
  <c r="X6" i="1"/>
  <c r="V11" i="1"/>
  <c r="AB3" i="1" l="1"/>
  <c r="AB11" i="1"/>
  <c r="AB6" i="1"/>
  <c r="AB10" i="1"/>
  <c r="AB8" i="1"/>
  <c r="AB7" i="1"/>
  <c r="AA4" i="1"/>
  <c r="AB5" i="1"/>
  <c r="E11" i="1"/>
  <c r="F7" i="1"/>
  <c r="F8" i="1"/>
  <c r="F9" i="1"/>
  <c r="F10" i="1"/>
  <c r="F11" i="1"/>
  <c r="F10" i="4" s="1"/>
  <c r="F3" i="1"/>
  <c r="F4" i="1"/>
  <c r="F5" i="1"/>
  <c r="F6" i="1"/>
  <c r="G6" i="1"/>
  <c r="G7" i="1"/>
  <c r="G8" i="1"/>
  <c r="G9" i="1"/>
  <c r="G10" i="1"/>
  <c r="G4" i="1"/>
  <c r="V4" i="1" s="1"/>
  <c r="G3" i="1"/>
  <c r="V3" i="1" s="1"/>
  <c r="G5" i="1"/>
  <c r="V5" i="1" s="1"/>
  <c r="E5" i="1" l="1"/>
  <c r="E3" i="1"/>
  <c r="E4" i="1"/>
  <c r="E10" i="1"/>
  <c r="V10" i="1"/>
  <c r="E9" i="1"/>
  <c r="V9" i="1"/>
  <c r="E8" i="1"/>
  <c r="V8" i="1"/>
  <c r="E7" i="1"/>
  <c r="V7" i="1"/>
  <c r="E6" i="1"/>
  <c r="V6" i="1"/>
  <c r="C3" i="4" l="1"/>
  <c r="B25" i="4"/>
  <c r="B24" i="4"/>
  <c r="B23" i="4"/>
  <c r="B22" i="4"/>
  <c r="B21" i="4"/>
  <c r="B20" i="4"/>
  <c r="B16" i="4"/>
  <c r="B15" i="4"/>
  <c r="B14" i="4"/>
  <c r="O10" i="4"/>
  <c r="N10" i="4"/>
  <c r="M10" i="4"/>
  <c r="L10" i="4"/>
  <c r="K10" i="4"/>
  <c r="J10" i="4"/>
  <c r="I10" i="4"/>
  <c r="H10" i="4"/>
  <c r="G10" i="4"/>
  <c r="E10" i="4"/>
  <c r="D10" i="4"/>
  <c r="C10" i="4"/>
  <c r="B10" i="4"/>
  <c r="A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O3" i="4"/>
  <c r="N3" i="4"/>
  <c r="M3" i="4"/>
  <c r="L3" i="4"/>
  <c r="K3" i="4"/>
  <c r="J3" i="4"/>
  <c r="I3" i="4"/>
  <c r="H3" i="4"/>
  <c r="G3" i="4"/>
  <c r="F3" i="4"/>
  <c r="E3" i="4"/>
  <c r="D3" i="4"/>
  <c r="B3" i="4"/>
  <c r="A3" i="4"/>
  <c r="E11" i="3"/>
  <c r="D11" i="3"/>
  <c r="C11" i="3"/>
  <c r="M7" i="2" s="1"/>
  <c r="E10" i="3"/>
  <c r="D10" i="3"/>
  <c r="F10" i="3" s="1"/>
  <c r="C10" i="3"/>
  <c r="I7" i="2" s="1"/>
  <c r="E9" i="3"/>
  <c r="D9" i="3"/>
  <c r="C9" i="3"/>
  <c r="E7" i="2" s="1"/>
  <c r="E8" i="3"/>
  <c r="D8" i="3"/>
  <c r="C8" i="3"/>
  <c r="A7" i="2" s="1"/>
  <c r="E7" i="3"/>
  <c r="D7" i="3"/>
  <c r="C7" i="3"/>
  <c r="Q4" i="2" s="1"/>
  <c r="E6" i="3"/>
  <c r="D6" i="3"/>
  <c r="C6" i="3"/>
  <c r="M4" i="2" s="1"/>
  <c r="E5" i="3"/>
  <c r="D5" i="3"/>
  <c r="F5" i="3" s="1"/>
  <c r="C5" i="3"/>
  <c r="I4" i="2" s="1"/>
  <c r="E4" i="3"/>
  <c r="D4" i="3"/>
  <c r="C4" i="3"/>
  <c r="E4" i="2" s="1"/>
  <c r="E3" i="3"/>
  <c r="D3" i="3"/>
  <c r="C3" i="3"/>
  <c r="A4" i="2" s="1"/>
  <c r="F7" i="3" l="1"/>
  <c r="F11" i="3"/>
  <c r="F6" i="3"/>
  <c r="F3" i="3"/>
  <c r="F4" i="3"/>
  <c r="F9" i="3"/>
  <c r="F8" i="3"/>
</calcChain>
</file>

<file path=xl/sharedStrings.xml><?xml version="1.0" encoding="utf-8"?>
<sst xmlns="http://schemas.openxmlformats.org/spreadsheetml/2006/main" count="128" uniqueCount="107">
  <si>
    <t>Código</t>
  </si>
  <si>
    <t>Fecha</t>
  </si>
  <si>
    <t>Mina</t>
  </si>
  <si>
    <t>Peso Tolva [Kg]</t>
  </si>
  <si>
    <t>Ley Cabeza [gr/ton]</t>
  </si>
  <si>
    <t>Peso Retenido [Kg]</t>
  </si>
  <si>
    <t>Peso Ingresa Equipo [Kg]</t>
  </si>
  <si>
    <t>Peso Rechazo [Kg]</t>
  </si>
  <si>
    <t>Peso Rech. Veta [Kg]</t>
  </si>
  <si>
    <t>Ley RV [gr/ton]</t>
  </si>
  <si>
    <t>Peso Rech. Caja [Kg]</t>
  </si>
  <si>
    <t>Ley RC [gr/ton]</t>
  </si>
  <si>
    <t>Peso Selectado [Kg]</t>
  </si>
  <si>
    <t>Peso Sel. Veta [Kg]</t>
  </si>
  <si>
    <t>Ley SV [gr/ton]</t>
  </si>
  <si>
    <t>Peso Sel. Caja [Kg]</t>
  </si>
  <si>
    <t>Ley SC [gr/ton]</t>
  </si>
  <si>
    <t>Peso Veta Total [Kg]</t>
  </si>
  <si>
    <t>Peso Caja Total [Kg]</t>
  </si>
  <si>
    <t>Reducción Masa [%]</t>
  </si>
  <si>
    <t>Rel. % Veta Post</t>
  </si>
  <si>
    <t>Rel. % Caja Post</t>
  </si>
  <si>
    <t>Ley Rechazo Calc [gr/ton]</t>
  </si>
  <si>
    <t>Ley Selectado Calc [gr/ton]</t>
  </si>
  <si>
    <t>Recuperación Au Rechazo</t>
  </si>
  <si>
    <t>Recuperación Au Selectado</t>
  </si>
  <si>
    <t>Modelo</t>
  </si>
  <si>
    <t>Confianza</t>
  </si>
  <si>
    <t>Num Pasadas</t>
  </si>
  <si>
    <t>IM-SO-23</t>
  </si>
  <si>
    <t>Bonanza</t>
  </si>
  <si>
    <t>ONE_CLASS</t>
  </si>
  <si>
    <t>IM-SO-24</t>
  </si>
  <si>
    <t>IM-SO-25</t>
  </si>
  <si>
    <t>IM-SO-27</t>
  </si>
  <si>
    <t>BZA-V1-CH-0,43%</t>
  </si>
  <si>
    <t>IM-SO-28</t>
  </si>
  <si>
    <t>IM-SO-29</t>
  </si>
  <si>
    <t>IM-SO-31</t>
  </si>
  <si>
    <t>Tenguel</t>
  </si>
  <si>
    <t>TNGL-V1-GRN35-0,4%-HR-WR</t>
  </si>
  <si>
    <t>IM-SO-32</t>
  </si>
  <si>
    <t>INDICADORES CLAVE  (ver hoja KPIs para detalle completo)</t>
  </si>
  <si>
    <t>Recup. Au Rech.</t>
  </si>
  <si>
    <t>Pérdida Au Sel.</t>
  </si>
  <si>
    <t>Ratio Enriq.</t>
  </si>
  <si>
    <t>Ef. Captura Veta</t>
  </si>
  <si>
    <t>Ef. Desc. Caja</t>
  </si>
  <si>
    <t>Red. Masa</t>
  </si>
  <si>
    <t>Mat. Retenido</t>
  </si>
  <si>
    <t>Contam. Rech.</t>
  </si>
  <si>
    <t>Diluc. Select.</t>
  </si>
  <si>
    <t>INDICADORES CLAVE DE RENDIMIENTO (KPIs)</t>
  </si>
  <si>
    <t>KPI</t>
  </si>
  <si>
    <t>Fórmula</t>
  </si>
  <si>
    <t>Promedio</t>
  </si>
  <si>
    <t>Última Prueba</t>
  </si>
  <si>
    <t>Penúltima Prueba</t>
  </si>
  <si>
    <t>Semáforo</t>
  </si>
  <si>
    <t>1. Recuperación Au en Rechazo (%)</t>
  </si>
  <si>
    <t>recuperacion_au_rechazo × 100</t>
  </si>
  <si>
    <t>2. Pérdida Au en Selectado (%)</t>
  </si>
  <si>
    <t>recuperacion_au_selectado × 100</t>
  </si>
  <si>
    <t>3. Ratio de Enriquecimiento</t>
  </si>
  <si>
    <t>(Ley_Rech×100) / ((P_Rech/P_Tolva×100) × Ley_Cab)</t>
  </si>
  <si>
    <t>4. Eficiencia Captura Veta (%)</t>
  </si>
  <si>
    <t>P_Rech_Veta / (P_Rech_Veta + P_Sel_Veta) × 100</t>
  </si>
  <si>
    <t>5. Eficiencia Descarte Caja (%)</t>
  </si>
  <si>
    <t>P_Sel_Caja / (P_Rech_Caja + P_Sel_Caja) × 100</t>
  </si>
  <si>
    <t>6. Reducción de Masa (%)</t>
  </si>
  <si>
    <t>Directo del Excel</t>
  </si>
  <si>
    <t>7. Material Retenido (%)</t>
  </si>
  <si>
    <t>peso_retenido / peso_tolva × 100</t>
  </si>
  <si>
    <t>8. Índ. Contaminación Rechazo (%)</t>
  </si>
  <si>
    <t>P_Rech_Caja / P_Rechazo × 100</t>
  </si>
  <si>
    <t>9. Índ. Dilución Selectado (%)</t>
  </si>
  <si>
    <t>P_Sel_Veta / P_Selectado × 100</t>
  </si>
  <si>
    <t>CÁLCULOS AUXILIARES PARA GRÁFICOS</t>
  </si>
  <si>
    <t>Recup. Au (%)</t>
  </si>
  <si>
    <t>Ley Rechazo</t>
  </si>
  <si>
    <t>Ley Selectado</t>
  </si>
  <si>
    <t>Ley Cabeza</t>
  </si>
  <si>
    <t>% Retenido</t>
  </si>
  <si>
    <t>Ef. Captura Veta (%)</t>
  </si>
  <si>
    <t>Ef. Descarte Caja (%)</t>
  </si>
  <si>
    <t>Contam. Rechazo (%)</t>
  </si>
  <si>
    <t>Dilución Select. (%)</t>
  </si>
  <si>
    <t>% Veta en Rechazo</t>
  </si>
  <si>
    <t>% Caja en Rechazo</t>
  </si>
  <si>
    <t>% Veta en Selectado</t>
  </si>
  <si>
    <t>% Caja en Selectado</t>
  </si>
  <si>
    <t>PROMEDIO POR MODELO</t>
  </si>
  <si>
    <t>Recup. Au Prom. (%)</t>
  </si>
  <si>
    <t>BALANCE WATERFALL (Última Prueba)</t>
  </si>
  <si>
    <t>Categoría</t>
  </si>
  <si>
    <t>Kg</t>
  </si>
  <si>
    <t>Peso Tolva</t>
  </si>
  <si>
    <t>Retenido</t>
  </si>
  <si>
    <t>Rech. Veta</t>
  </si>
  <si>
    <t>Rech. Caja</t>
  </si>
  <si>
    <t>Sel. Veta</t>
  </si>
  <si>
    <t>Sel. Caja</t>
  </si>
  <si>
    <t xml:space="preserve"> REGISTRO DE RENDIMIENTO DEL EQUIPO ORE SORTER</t>
  </si>
  <si>
    <t xml:space="preserve"> DASHBOARD ORE SORTER — RENDIMIENTO METALÚRGICO</t>
  </si>
  <si>
    <t xml:space="preserve"> </t>
  </si>
  <si>
    <t xml:space="preserve">  </t>
  </si>
  <si>
    <t>Contenido Au  miligramos          [Mg]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</si>
</sst>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E293B"/>
      <name val="Arial"/>
      <charset val="1"/>
    </font>
    <font>
      <b/>
      <sz val="11"/>
      <color rgb="FF1E3A5F"/>
      <name val="Arial"/>
      <charset val="1"/>
    </font>
    <font>
      <b/>
      <sz val="8"/>
      <color rgb="FF1E3A5F"/>
      <name val="Arial"/>
      <charset val="1"/>
    </font>
    <font>
      <b/>
      <sz val="14"/>
      <color rgb="FF1E3A5F"/>
      <name val="Arial"/>
      <charset val="1"/>
    </font>
    <font>
      <b/>
      <sz val="14"/>
      <color rgb="FFFFFFFF"/>
      <name val="Arial"/>
      <charset val="1"/>
    </font>
    <font>
      <b/>
      <sz val="10"/>
      <color rgb="FF1E3A5F"/>
      <name val="Arial"/>
      <charset val="1"/>
    </font>
    <font>
      <sz val="9"/>
      <color rgb="FF94A3B8"/>
      <name val="Arial"/>
      <charset val="1"/>
    </font>
    <font>
      <b/>
      <sz val="11"/>
      <color rgb="FF1E293B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  <font>
      <b/>
      <sz val="10"/>
      <color rgb="FF1E293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F8FAFC"/>
        <bgColor rgb="FFF9F9F9"/>
      </patternFill>
    </fill>
    <fill>
      <patternFill patternType="solid">
        <fgColor rgb="FF2A4F7A"/>
        <bgColor rgb="FF3A5F88"/>
      </patternFill>
    </fill>
    <fill>
      <patternFill patternType="solid">
        <fgColor rgb="FFE5F0F7"/>
        <bgColor indexed="64"/>
      </patternFill>
    </fill>
    <fill>
      <patternFill patternType="solid">
        <fgColor rgb="FFE5F0F7"/>
        <bgColor rgb="FFF1F5F9"/>
      </patternFill>
    </fill>
    <fill>
      <patternFill patternType="solid">
        <fgColor rgb="FFE5F0F7"/>
        <bgColor rgb="FFEFF6FF"/>
      </patternFill>
    </fill>
    <fill>
      <patternFill patternType="solid">
        <fgColor rgb="FFE5F0F7"/>
        <bgColor rgb="FFF8FAF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1E293B"/>
      </patternFill>
    </fill>
    <fill>
      <patternFill patternType="solid">
        <fgColor theme="3" tint="-0.499984740745262"/>
        <bgColor rgb="FF1E293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9F9F9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medium">
        <color rgb="FF1E3A5F"/>
      </top>
      <bottom/>
      <diagonal/>
    </border>
    <border>
      <left style="thin">
        <color rgb="FFE2E8F0"/>
      </left>
      <right/>
      <top/>
      <bottom style="medium">
        <color rgb="FF1E3A5F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indexed="64"/>
      </right>
      <top style="thin">
        <color rgb="FFE2E8F0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3" fillId="4" borderId="0" xfId="0" applyFont="1" applyFill="1"/>
    <xf numFmtId="2" fontId="14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0" fillId="5" borderId="0" xfId="0" applyFill="1"/>
    <xf numFmtId="0" fontId="0" fillId="7" borderId="0" xfId="0" applyFill="1"/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18" fillId="12" borderId="8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999FF"/>
      <rgbColor rgb="FF993366"/>
      <rgbColor rgb="FFF9F9F9"/>
      <rgbColor rgb="FFEFF6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D4A843"/>
      <rgbColor rgb="FFFF6600"/>
      <rgbColor rgb="FF3A5F88"/>
      <rgbColor rgb="FF94A3B8"/>
      <rgbColor rgb="FF1E3A5F"/>
      <rgbColor rgb="FF16A34A"/>
      <rgbColor rgb="FF003300"/>
      <rgbColor rgb="FF333300"/>
      <rgbColor rgb="FF993300"/>
      <rgbColor rgb="FF993366"/>
      <rgbColor rgb="FF2A4F7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F0F7"/>
      <color rgb="FFF9FBFD"/>
      <color rgb="FFE1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Recuperación Au vs Tiempo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Calc!$B$2</c:f>
              <c:strCache>
                <c:ptCount val="1"/>
                <c:pt idx="0">
                  <c:v>Recup. Au (%)</c:v>
                </c:pt>
              </c:strCache>
            </c:strRef>
          </c:tx>
          <c:spPr>
            <a:ln w="47520">
              <a:solidFill>
                <a:srgbClr val="1E3A5F"/>
              </a:solidFill>
              <a:round/>
            </a:ln>
          </c:spPr>
          <c:marker>
            <c:symbol val="circle"/>
            <c:size val="7"/>
            <c:spPr>
              <a:solidFill>
                <a:srgbClr val="1E3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Calc!$B$3:$B$10</c:f>
              <c:numCache>
                <c:formatCode>0.00</c:formatCode>
                <c:ptCount val="8"/>
                <c:pt idx="0">
                  <c:v>91.259435566133973</c:v>
                </c:pt>
                <c:pt idx="1">
                  <c:v>89.207149694084507</c:v>
                </c:pt>
                <c:pt idx="2">
                  <c:v>96.864022534081499</c:v>
                </c:pt>
                <c:pt idx="3">
                  <c:v>77.430152848104257</c:v>
                </c:pt>
                <c:pt idx="4">
                  <c:v>92.535090732551922</c:v>
                </c:pt>
                <c:pt idx="5">
                  <c:v>94.658899226893993</c:v>
                </c:pt>
                <c:pt idx="6">
                  <c:v>77.688676262934948</c:v>
                </c:pt>
                <c:pt idx="7">
                  <c:v>91.946500192988651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34-4EA3-ACA1-229D87D5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274082"/>
        <c:axId val="20624265"/>
      </c:lineChart>
      <c:catAx>
        <c:axId val="30274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Prueba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0624265"/>
        <c:crosses val="autoZero"/>
        <c:auto val="1"/>
        <c:lblAlgn val="ctr"/>
        <c:lblOffset val="100"/>
        <c:noMultiLvlLbl val="0"/>
      </c:catAx>
      <c:valAx>
        <c:axId val="20624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Recuperación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30274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848551440299226"/>
          <c:y val="0.52949552715972159"/>
          <c:w val="0.13231624313257698"/>
          <c:h val="4.4356271719127358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Ley Rechazo vs Ley Selectado vs Ley Cabeza (gr/ton)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Calc!$C$2</c:f>
              <c:strCache>
                <c:ptCount val="1"/>
                <c:pt idx="0">
                  <c:v>Ley Rechazo</c:v>
                </c:pt>
              </c:strCache>
            </c:strRef>
          </c:tx>
          <c:spPr>
            <a:solidFill>
              <a:srgbClr val="1E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Calc!$C$3:$C$10</c:f>
              <c:numCache>
                <c:formatCode>0.000</c:formatCode>
                <c:ptCount val="8"/>
                <c:pt idx="0">
                  <c:v>3.1725059101654844</c:v>
                </c:pt>
                <c:pt idx="1">
                  <c:v>5.0269076714188721</c:v>
                </c:pt>
                <c:pt idx="2">
                  <c:v>3.4022317772317767</c:v>
                </c:pt>
                <c:pt idx="3">
                  <c:v>5.150195121951219</c:v>
                </c:pt>
                <c:pt idx="4">
                  <c:v>1.4122060606060607</c:v>
                </c:pt>
                <c:pt idx="5">
                  <c:v>2.0952561424157716</c:v>
                </c:pt>
                <c:pt idx="6">
                  <c:v>1.8664556962025316</c:v>
                </c:pt>
                <c:pt idx="7">
                  <c:v>1.0601780185758514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F-4B95-AEB8-E034E9552EDB}"/>
            </c:ext>
          </c:extLst>
        </c:ser>
        <c:ser>
          <c:idx val="1"/>
          <c:order val="1"/>
          <c:tx>
            <c:strRef>
              <c:f>Calc!$D$2</c:f>
              <c:strCache>
                <c:ptCount val="1"/>
                <c:pt idx="0">
                  <c:v>Ley Selectado</c:v>
                </c:pt>
              </c:strCache>
            </c:strRef>
          </c:tx>
          <c:spPr>
            <a:solidFill>
              <a:srgbClr val="D4A8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Calc!$D$3:$D$10</c:f>
              <c:numCache>
                <c:formatCode>0.000</c:formatCode>
                <c:ptCount val="8"/>
                <c:pt idx="0">
                  <c:v>1.5301190476190476</c:v>
                </c:pt>
                <c:pt idx="1">
                  <c:v>0.64127415891195405</c:v>
                </c:pt>
                <c:pt idx="2">
                  <c:v>0.18640332640332641</c:v>
                </c:pt>
                <c:pt idx="3">
                  <c:v>1.0632971372161892</c:v>
                </c:pt>
                <c:pt idx="4">
                  <c:v>0.37860020140986911</c:v>
                </c:pt>
                <c:pt idx="5">
                  <c:v>0.59634137291280154</c:v>
                </c:pt>
                <c:pt idx="6">
                  <c:v>0.74291228070175441</c:v>
                </c:pt>
                <c:pt idx="7">
                  <c:v>0.28064327485380114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F-4B95-AEB8-E034E9552EDB}"/>
            </c:ext>
          </c:extLst>
        </c:ser>
        <c:ser>
          <c:idx val="2"/>
          <c:order val="2"/>
          <c:tx>
            <c:strRef>
              <c:f>Calc!$E$2</c:f>
              <c:strCache>
                <c:ptCount val="1"/>
                <c:pt idx="0">
                  <c:v>Ley Cabeza</c:v>
                </c:pt>
              </c:strCache>
            </c:strRef>
          </c:tx>
          <c:spPr>
            <a:solidFill>
              <a:srgbClr val="94A3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Calc!$E$3:$E$10</c:f>
              <c:numCache>
                <c:formatCode>0.000</c:formatCode>
                <c:ptCount val="8"/>
                <c:pt idx="0">
                  <c:v>2.9003944773175543</c:v>
                </c:pt>
                <c:pt idx="1">
                  <c:v>2.8921585365853653</c:v>
                </c:pt>
                <c:pt idx="2">
                  <c:v>2.20778120978121</c:v>
                </c:pt>
                <c:pt idx="3">
                  <c:v>2.7578069921987867</c:v>
                </c:pt>
                <c:pt idx="4">
                  <c:v>1.1731260191008619</c:v>
                </c:pt>
                <c:pt idx="5">
                  <c:v>1.8472620787034195</c:v>
                </c:pt>
                <c:pt idx="6">
                  <c:v>1.3955588235294116</c:v>
                </c:pt>
                <c:pt idx="7">
                  <c:v>0.86637103809246874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F-4B95-AEB8-E034E955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76718"/>
        <c:axId val="25445981"/>
      </c:barChart>
      <c:catAx>
        <c:axId val="84776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5445981"/>
        <c:crosses val="autoZero"/>
        <c:auto val="1"/>
        <c:lblAlgn val="ctr"/>
        <c:lblOffset val="100"/>
        <c:noMultiLvlLbl val="0"/>
      </c:catAx>
      <c:valAx>
        <c:axId val="25445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gr/ton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47767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% Material Retenido vs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Calc!$F$2</c:f>
              <c:strCache>
                <c:ptCount val="1"/>
                <c:pt idx="0">
                  <c:v>% Retenido</c:v>
                </c:pt>
              </c:strCache>
            </c:strRef>
          </c:tx>
          <c:spPr>
            <a:solidFill>
              <a:srgbClr val="94A3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Calc!$F$3:$F$10</c:f>
              <c:numCache>
                <c:formatCode>0.00</c:formatCode>
                <c:ptCount val="8"/>
                <c:pt idx="0">
                  <c:v>39.099099099099085</c:v>
                </c:pt>
                <c:pt idx="1">
                  <c:v>8.7440381558028513</c:v>
                </c:pt>
                <c:pt idx="2">
                  <c:v>19.213973799126641</c:v>
                </c:pt>
                <c:pt idx="3">
                  <c:v>31.465346534653467</c:v>
                </c:pt>
                <c:pt idx="4">
                  <c:v>10.729881472239558</c:v>
                </c:pt>
                <c:pt idx="5">
                  <c:v>17.381821870561986</c:v>
                </c:pt>
                <c:pt idx="6">
                  <c:v>9.3333333333333233</c:v>
                </c:pt>
                <c:pt idx="7">
                  <c:v>17.589264318236271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B-43F8-91BB-B922EA54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13478"/>
        <c:axId val="32480813"/>
      </c:barChart>
      <c:catAx>
        <c:axId val="71413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32480813"/>
        <c:crosses val="autoZero"/>
        <c:auto val="1"/>
        <c:lblAlgn val="ctr"/>
        <c:lblOffset val="100"/>
        <c:noMultiLvlLbl val="0"/>
      </c:catAx>
      <c:valAx>
        <c:axId val="32480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% Retenido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1413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Recuperación Au Promedio por Modelo de 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Calc!$B$13</c:f>
              <c:strCache>
                <c:ptCount val="1"/>
                <c:pt idx="0">
                  <c:v>Recup. Au Prom. (%)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Calc!$A$14:$A$16</c:f>
              <c:strCache>
                <c:ptCount val="3"/>
                <c:pt idx="0">
                  <c:v>ONE_CLASS</c:v>
                </c:pt>
                <c:pt idx="1">
                  <c:v>BZA-V1-CH-0,43%</c:v>
                </c:pt>
                <c:pt idx="2">
                  <c:v>TNGL-V1-GRN35-0,4%-HR-WR</c:v>
                </c:pt>
              </c:strCache>
            </c:strRef>
          </c:cat>
          <c:val>
            <c:numRef>
              <c:f>Calc!$B$14:$B$16</c:f>
              <c:numCache>
                <c:formatCode>0.00</c:formatCode>
                <c:ptCount val="3"/>
                <c:pt idx="0">
                  <c:v>84.874684909448547</c:v>
                </c:pt>
                <c:pt idx="1">
                  <c:v>88.208047602516743</c:v>
                </c:pt>
                <c:pt idx="2">
                  <c:v>84.817588227961792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5-49B6-8FCF-2EAF26FC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53338"/>
        <c:axId val="64464886"/>
      </c:barChart>
      <c:catAx>
        <c:axId val="4805333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Recuperación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4464886"/>
        <c:crosses val="autoZero"/>
        <c:auto val="1"/>
        <c:lblAlgn val="ctr"/>
        <c:lblOffset val="100"/>
        <c:noMultiLvlLbl val="0"/>
      </c:catAx>
      <c:valAx>
        <c:axId val="644648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8053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Ratio de Enriquecimiento por Prueba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Calc!$G$2</c:f>
              <c:strCache>
                <c:ptCount val="1"/>
                <c:pt idx="0">
                  <c:v>Ratio Enriq.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Calc!$G$3:$G$10</c:f>
              <c:numCache>
                <c:formatCode>0.00</c:formatCode>
                <c:ptCount val="8"/>
                <c:pt idx="0">
                  <c:v>2.1527284238533109</c:v>
                </c:pt>
                <c:pt idx="1">
                  <c:v>3.7110492333893355</c:v>
                </c:pt>
                <c:pt idx="2">
                  <c:v>3.0347085013818638</c:v>
                </c:pt>
                <c:pt idx="3">
                  <c:v>6.5720262865243395</c:v>
                </c:pt>
                <c:pt idx="4">
                  <c:v>1.7542611312873202</c:v>
                </c:pt>
                <c:pt idx="5">
                  <c:v>1.645053973123088</c:v>
                </c:pt>
                <c:pt idx="6">
                  <c:v>2.5394151510396932</c:v>
                </c:pt>
                <c:pt idx="7">
                  <c:v>1.9761993176409929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C-4BDC-B8AA-9F955D682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420807"/>
        <c:axId val="78797651"/>
      </c:barChart>
      <c:catAx>
        <c:axId val="75420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8797651"/>
        <c:crosses val="autoZero"/>
        <c:auto val="1"/>
        <c:lblAlgn val="ctr"/>
        <c:lblOffset val="100"/>
        <c:noMultiLvlLbl val="0"/>
      </c:catAx>
      <c:valAx>
        <c:axId val="78797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5420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Composición del Rechazo (% Veta vs % Caja)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Calc!$L$2</c:f>
              <c:strCache>
                <c:ptCount val="1"/>
                <c:pt idx="0">
                  <c:v>% Veta en Rechazo</c:v>
                </c:pt>
              </c:strCache>
            </c:strRef>
          </c:tx>
          <c:spPr>
            <a:solidFill>
              <a:srgbClr val="1E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Calc!$L$3:$L$10</c:f>
              <c:numCache>
                <c:formatCode>0.00</c:formatCode>
                <c:ptCount val="8"/>
                <c:pt idx="0">
                  <c:v>87.70685579196217</c:v>
                </c:pt>
                <c:pt idx="1">
                  <c:v>43.957909029192123</c:v>
                </c:pt>
                <c:pt idx="2">
                  <c:v>78.050778050778035</c:v>
                </c:pt>
                <c:pt idx="3">
                  <c:v>66.480836236933797</c:v>
                </c:pt>
                <c:pt idx="4">
                  <c:v>33.212121212121218</c:v>
                </c:pt>
                <c:pt idx="5">
                  <c:v>40.42960129468883</c:v>
                </c:pt>
                <c:pt idx="6">
                  <c:v>43.417721518987342</c:v>
                </c:pt>
                <c:pt idx="7">
                  <c:v>62.770897832817326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2-482C-92F7-B09BA8E90AD7}"/>
            </c:ext>
          </c:extLst>
        </c:ser>
        <c:ser>
          <c:idx val="1"/>
          <c:order val="1"/>
          <c:tx>
            <c:strRef>
              <c:f>Calc!$M$2</c:f>
              <c:strCache>
                <c:ptCount val="1"/>
                <c:pt idx="0">
                  <c:v>% Caja en Rechazo</c:v>
                </c:pt>
              </c:strCache>
            </c:strRef>
          </c:tx>
          <c:spPr>
            <a:solidFill>
              <a:srgbClr val="D4A8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Calc!$M$3:$M$10</c:f>
              <c:numCache>
                <c:formatCode>0.00</c:formatCode>
                <c:ptCount val="8"/>
                <c:pt idx="0">
                  <c:v>16.54846335697399</c:v>
                </c:pt>
                <c:pt idx="1">
                  <c:v>41.276306856754921</c:v>
                </c:pt>
                <c:pt idx="2">
                  <c:v>13.063063063063062</c:v>
                </c:pt>
                <c:pt idx="3">
                  <c:v>33.519163763066203</c:v>
                </c:pt>
                <c:pt idx="4">
                  <c:v>66.787878787878782</c:v>
                </c:pt>
                <c:pt idx="5">
                  <c:v>59.567456230690006</c:v>
                </c:pt>
                <c:pt idx="6">
                  <c:v>56.582278481012651</c:v>
                </c:pt>
                <c:pt idx="7">
                  <c:v>37.22910216718266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2-482C-92F7-B09BA8E90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198346"/>
        <c:axId val="41481169"/>
      </c:barChart>
      <c:catAx>
        <c:axId val="69198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1481169"/>
        <c:crosses val="autoZero"/>
        <c:auto val="1"/>
        <c:lblAlgn val="ctr"/>
        <c:lblOffset val="100"/>
        <c:noMultiLvlLbl val="0"/>
      </c:catAx>
      <c:valAx>
        <c:axId val="41481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9198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Composición del Selectado (% Veta vs % Caja)</a:t>
            </a:r>
          </a:p>
        </c:rich>
      </c:tx>
      <c:layout>
        <c:manualLayout>
          <c:xMode val="edge"/>
          <c:yMode val="edge"/>
          <c:x val="0.16247257976479029"/>
          <c:y val="2.041111931886327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Calc!$N$2</c:f>
              <c:strCache>
                <c:ptCount val="1"/>
                <c:pt idx="0">
                  <c:v>% Veta en Selectado</c:v>
                </c:pt>
              </c:strCache>
            </c:strRef>
          </c:tx>
          <c:spPr>
            <a:solidFill>
              <a:srgbClr val="3A5F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Calc!$N$3:$N$10</c:f>
              <c:numCache>
                <c:formatCode>0.00</c:formatCode>
                <c:ptCount val="8"/>
                <c:pt idx="0">
                  <c:v>84.523809523809518</c:v>
                </c:pt>
                <c:pt idx="1">
                  <c:v>13.528990694345024</c:v>
                </c:pt>
                <c:pt idx="2">
                  <c:v>21.829521829521827</c:v>
                </c:pt>
                <c:pt idx="3">
                  <c:v>27.443237907206314</c:v>
                </c:pt>
                <c:pt idx="4">
                  <c:v>12.789526686807653</c:v>
                </c:pt>
                <c:pt idx="5">
                  <c:v>6.8645640074211505</c:v>
                </c:pt>
                <c:pt idx="6">
                  <c:v>20.877192982456137</c:v>
                </c:pt>
                <c:pt idx="7">
                  <c:v>38.12865497076023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C-4B75-AE44-F7FBF9FE3389}"/>
            </c:ext>
          </c:extLst>
        </c:ser>
        <c:ser>
          <c:idx val="1"/>
          <c:order val="1"/>
          <c:tx>
            <c:strRef>
              <c:f>Calc!$O$2</c:f>
              <c:strCache>
                <c:ptCount val="1"/>
                <c:pt idx="0">
                  <c:v>% Caja en Selectado</c:v>
                </c:pt>
              </c:strCache>
            </c:strRef>
          </c:tx>
          <c:spPr>
            <a:solidFill>
              <a:srgbClr val="D4A8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Calc!$A$3:$A$10</c:f>
              <c:strCache>
                <c:ptCount val="8"/>
                <c:pt idx="0">
                  <c:v>IM-SO-23</c:v>
                </c:pt>
                <c:pt idx="1">
                  <c:v>IM-SO-24</c:v>
                </c:pt>
                <c:pt idx="2">
                  <c:v>IM-SO-25</c:v>
                </c:pt>
                <c:pt idx="3">
                  <c:v>IM-SO-27</c:v>
                </c:pt>
                <c:pt idx="4">
                  <c:v>IM-SO-28</c:v>
                </c:pt>
                <c:pt idx="5">
                  <c:v>IM-SO-29</c:v>
                </c:pt>
                <c:pt idx="6">
                  <c:v>IM-SO-31</c:v>
                </c:pt>
                <c:pt idx="7">
                  <c:v>IM-SO-32</c:v>
                </c:pt>
              </c:strCache>
            </c:strRef>
          </c:cat>
          <c:val>
            <c:numRef>
              <c:f>Calc!$O$3:$O$10</c:f>
              <c:numCache>
                <c:formatCode>0.00</c:formatCode>
                <c:ptCount val="8"/>
                <c:pt idx="0">
                  <c:v>15.476190476190476</c:v>
                </c:pt>
                <c:pt idx="1">
                  <c:v>74.087329992841802</c:v>
                </c:pt>
                <c:pt idx="2">
                  <c:v>63.825363825363837</c:v>
                </c:pt>
                <c:pt idx="3">
                  <c:v>72.556762092793676</c:v>
                </c:pt>
                <c:pt idx="4">
                  <c:v>87.210473313192352</c:v>
                </c:pt>
                <c:pt idx="5">
                  <c:v>93.061224489795919</c:v>
                </c:pt>
                <c:pt idx="6">
                  <c:v>79.122807017543849</c:v>
                </c:pt>
                <c:pt idx="7">
                  <c:v>61.871345029239762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C-4B75-AE44-F7FBF9FE3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97310"/>
        <c:axId val="50523330"/>
      </c:barChart>
      <c:catAx>
        <c:axId val="44597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0523330"/>
        <c:crosses val="autoZero"/>
        <c:auto val="1"/>
        <c:lblAlgn val="ctr"/>
        <c:lblOffset val="100"/>
        <c:noMultiLvlLbl val="0"/>
      </c:catAx>
      <c:valAx>
        <c:axId val="50523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45973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Balance de Masas — Última Prueba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Calc!$B$19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4A3B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221-4CE8-AFDE-5EB4CAC5D524}"/>
              </c:ext>
            </c:extLst>
          </c:dPt>
          <c:dPt>
            <c:idx val="1"/>
            <c:invertIfNegative val="0"/>
            <c:bubble3D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221-4CE8-AFDE-5EB4CAC5D524}"/>
              </c:ext>
            </c:extLst>
          </c:dPt>
          <c:dPt>
            <c:idx val="2"/>
            <c:invertIfNegative val="0"/>
            <c:bubble3D val="0"/>
            <c:spPr>
              <a:solidFill>
                <a:srgbClr val="1E3A5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221-4CE8-AFDE-5EB4CAC5D524}"/>
              </c:ext>
            </c:extLst>
          </c:dPt>
          <c:dPt>
            <c:idx val="3"/>
            <c:invertIfNegative val="0"/>
            <c:bubble3D val="0"/>
            <c:spPr>
              <a:solidFill>
                <a:srgbClr val="D4A84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221-4CE8-AFDE-5EB4CAC5D524}"/>
              </c:ext>
            </c:extLst>
          </c:dPt>
          <c:dPt>
            <c:idx val="4"/>
            <c:invertIfNegative val="0"/>
            <c:bubble3D val="0"/>
            <c:spPr>
              <a:solidFill>
                <a:srgbClr val="1E3A5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221-4CE8-AFDE-5EB4CAC5D524}"/>
              </c:ext>
            </c:extLst>
          </c:dPt>
          <c:dPt>
            <c:idx val="5"/>
            <c:invertIfNegative val="0"/>
            <c:bubble3D val="0"/>
            <c:spPr>
              <a:solidFill>
                <a:srgbClr val="D4A84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221-4CE8-AFDE-5EB4CAC5D52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21-4CE8-AFDE-5EB4CAC5D52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21-4CE8-AFDE-5EB4CAC5D52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21-4CE8-AFDE-5EB4CAC5D52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21-4CE8-AFDE-5EB4CAC5D52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21-4CE8-AFDE-5EB4CAC5D52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21-4CE8-AFDE-5EB4CAC5D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Calc!$A$20:$A$25</c:f>
              <c:strCache>
                <c:ptCount val="6"/>
                <c:pt idx="0">
                  <c:v>Peso Tolva</c:v>
                </c:pt>
                <c:pt idx="1">
                  <c:v>Retenido</c:v>
                </c:pt>
                <c:pt idx="2">
                  <c:v>Rech. Veta</c:v>
                </c:pt>
                <c:pt idx="3">
                  <c:v>Rech. Caja</c:v>
                </c:pt>
                <c:pt idx="4">
                  <c:v>Sel. Veta</c:v>
                </c:pt>
                <c:pt idx="5">
                  <c:v>Sel. Caja</c:v>
                </c:pt>
              </c:strCache>
            </c:strRef>
          </c:cat>
          <c:val>
            <c:numRef>
              <c:f>Calc!$B$20:$B$25</c:f>
              <c:numCache>
                <c:formatCode>0.00</c:formatCode>
                <c:ptCount val="6"/>
                <c:pt idx="0">
                  <c:v>83.46</c:v>
                </c:pt>
                <c:pt idx="1">
                  <c:v>14.679999999999993</c:v>
                </c:pt>
                <c:pt idx="2">
                  <c:v>32.44</c:v>
                </c:pt>
                <c:pt idx="3">
                  <c:v>19.239999999999998</c:v>
                </c:pt>
                <c:pt idx="4">
                  <c:v>6.52</c:v>
                </c:pt>
                <c:pt idx="5">
                  <c:v>10.58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21-4CE8-AFDE-5EB4CAC5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166016"/>
        <c:axId val="43615145"/>
      </c:barChart>
      <c:catAx>
        <c:axId val="961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3615145"/>
        <c:crosses val="autoZero"/>
        <c:auto val="1"/>
        <c:lblAlgn val="ctr"/>
        <c:lblOffset val="100"/>
        <c:noMultiLvlLbl val="0"/>
      </c:catAx>
      <c:valAx>
        <c:axId val="43615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96166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12</xdr:col>
      <xdr:colOff>187155</xdr:colOff>
      <xdr:row>34</xdr:row>
      <xdr:rowOff>79140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188243</xdr:colOff>
      <xdr:row>7</xdr:row>
      <xdr:rowOff>185057</xdr:rowOff>
    </xdr:from>
    <xdr:to>
      <xdr:col>26</xdr:col>
      <xdr:colOff>4274</xdr:colOff>
      <xdr:row>34</xdr:row>
      <xdr:rowOff>77571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75112</xdr:rowOff>
    </xdr:from>
    <xdr:to>
      <xdr:col>12</xdr:col>
      <xdr:colOff>187155</xdr:colOff>
      <xdr:row>60</xdr:row>
      <xdr:rowOff>153979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188868</xdr:colOff>
      <xdr:row>34</xdr:row>
      <xdr:rowOff>71847</xdr:rowOff>
    </xdr:from>
    <xdr:to>
      <xdr:col>26</xdr:col>
      <xdr:colOff>36994</xdr:colOff>
      <xdr:row>60</xdr:row>
      <xdr:rowOff>154524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60</xdr:row>
      <xdr:rowOff>151855</xdr:rowOff>
    </xdr:from>
    <xdr:to>
      <xdr:col>12</xdr:col>
      <xdr:colOff>187155</xdr:colOff>
      <xdr:row>87</xdr:row>
      <xdr:rowOff>38862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186941</xdr:colOff>
      <xdr:row>60</xdr:row>
      <xdr:rowOff>148709</xdr:rowOff>
    </xdr:from>
    <xdr:to>
      <xdr:col>26</xdr:col>
      <xdr:colOff>70718</xdr:colOff>
      <xdr:row>87</xdr:row>
      <xdr:rowOff>42090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87</xdr:row>
      <xdr:rowOff>29705</xdr:rowOff>
    </xdr:from>
    <xdr:to>
      <xdr:col>12</xdr:col>
      <xdr:colOff>194775</xdr:colOff>
      <xdr:row>113</xdr:row>
      <xdr:rowOff>109820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184974</xdr:colOff>
      <xdr:row>87</xdr:row>
      <xdr:rowOff>27592</xdr:rowOff>
    </xdr:from>
    <xdr:to>
      <xdr:col>26</xdr:col>
      <xdr:colOff>2910</xdr:colOff>
      <xdr:row>113</xdr:row>
      <xdr:rowOff>110878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AE19"/>
  <sheetViews>
    <sheetView tabSelected="1" topLeftCell="Q1" zoomScaleNormal="100" zoomScaleSheetLayoutView="50" workbookViewId="0">
      <selection activeCell="AC11" sqref="AC11"/>
    </sheetView>
  </sheetViews>
  <sheetFormatPr baseColWidth="10" defaultColWidth="8.7109375" defaultRowHeight="15" x14ac:dyDescent="0.25"/>
  <cols>
    <col min="1" max="2" width="12" customWidth="1"/>
    <col min="3" max="3" width="10" customWidth="1"/>
    <col min="4" max="4" width="14" customWidth="1"/>
    <col min="5" max="5" width="16" customWidth="1"/>
    <col min="6" max="6" width="14" customWidth="1"/>
    <col min="7" max="7" width="18" customWidth="1"/>
    <col min="8" max="8" width="14" customWidth="1"/>
    <col min="9" max="9" width="16" customWidth="1"/>
    <col min="10" max="10" width="14" customWidth="1"/>
    <col min="11" max="11" width="16" customWidth="1"/>
    <col min="12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4" width="16" customWidth="1"/>
    <col min="25" max="28" width="22" customWidth="1"/>
    <col min="29" max="29" width="26" customWidth="1"/>
    <col min="30" max="31" width="12" customWidth="1"/>
  </cols>
  <sheetData>
    <row r="1" spans="1:31" ht="37.5" customHeight="1" x14ac:dyDescent="0.25">
      <c r="A1" s="40" t="s">
        <v>102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 ht="39.75" customHeight="1" x14ac:dyDescent="0.25">
      <c r="A2" s="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2" t="s">
        <v>6</v>
      </c>
      <c r="H2" s="22" t="s">
        <v>7</v>
      </c>
      <c r="I2" s="23" t="s">
        <v>8</v>
      </c>
      <c r="J2" s="24" t="s">
        <v>9</v>
      </c>
      <c r="K2" s="24" t="s">
        <v>10</v>
      </c>
      <c r="L2" s="24" t="s">
        <v>11</v>
      </c>
      <c r="M2" s="24" t="s">
        <v>106</v>
      </c>
      <c r="N2" s="22" t="s">
        <v>12</v>
      </c>
      <c r="O2" s="21" t="s">
        <v>13</v>
      </c>
      <c r="P2" s="21" t="s">
        <v>14</v>
      </c>
      <c r="Q2" s="21" t="s">
        <v>15</v>
      </c>
      <c r="R2" s="21" t="s">
        <v>16</v>
      </c>
      <c r="S2" s="24" t="s">
        <v>106</v>
      </c>
      <c r="T2" s="21" t="s">
        <v>17</v>
      </c>
      <c r="U2" s="21" t="s">
        <v>18</v>
      </c>
      <c r="V2" s="21" t="s">
        <v>19</v>
      </c>
      <c r="W2" s="21" t="s">
        <v>20</v>
      </c>
      <c r="X2" s="21" t="s">
        <v>21</v>
      </c>
      <c r="Y2" s="21" t="s">
        <v>22</v>
      </c>
      <c r="Z2" s="21" t="s">
        <v>23</v>
      </c>
      <c r="AA2" s="21" t="s">
        <v>24</v>
      </c>
      <c r="AB2" s="21" t="s">
        <v>25</v>
      </c>
      <c r="AC2" s="21" t="s">
        <v>26</v>
      </c>
      <c r="AD2" s="21" t="s">
        <v>27</v>
      </c>
      <c r="AE2" s="21" t="s">
        <v>28</v>
      </c>
    </row>
    <row r="3" spans="1:31" x14ac:dyDescent="0.25">
      <c r="A3" s="37" t="s">
        <v>29</v>
      </c>
      <c r="B3" s="26">
        <v>46057</v>
      </c>
      <c r="C3" s="27" t="s">
        <v>30</v>
      </c>
      <c r="D3" s="27">
        <v>33.299999999999997</v>
      </c>
      <c r="E3" s="28">
        <f t="shared" ref="E3:E11" si="0">(((H3*Y3)+(N3*Z3))/G3)</f>
        <v>2.9003944773175543</v>
      </c>
      <c r="F3" s="27">
        <f t="shared" ref="F3:F11" si="1">+D3-(H3+N3)</f>
        <v>13.019999999999996</v>
      </c>
      <c r="G3" s="27">
        <f t="shared" ref="G3:G11" si="2">+H3+N3</f>
        <v>20.28</v>
      </c>
      <c r="H3" s="27">
        <v>16.920000000000002</v>
      </c>
      <c r="I3" s="27">
        <v>14.84</v>
      </c>
      <c r="J3" s="29">
        <v>3.57</v>
      </c>
      <c r="K3" s="27">
        <v>2.8</v>
      </c>
      <c r="L3" s="29">
        <v>0.25</v>
      </c>
      <c r="M3" s="29">
        <f t="shared" ref="M3:M11" si="3">(H3*Y3)</f>
        <v>53.678800000000003</v>
      </c>
      <c r="N3" s="27">
        <v>3.36</v>
      </c>
      <c r="O3" s="27">
        <v>2.84</v>
      </c>
      <c r="P3" s="29">
        <v>1.77</v>
      </c>
      <c r="Q3" s="27">
        <v>0.52</v>
      </c>
      <c r="R3" s="29">
        <v>0.22</v>
      </c>
      <c r="S3" s="29">
        <f>(N3*Z3)</f>
        <v>5.1411999999999995</v>
      </c>
      <c r="T3" s="30">
        <f t="shared" ref="T3:T9" si="4">O3+I3</f>
        <v>17.68</v>
      </c>
      <c r="U3" s="30">
        <f t="shared" ref="U3:U8" si="5">Q3+K3</f>
        <v>3.32</v>
      </c>
      <c r="V3" s="31">
        <f t="shared" ref="V3:V11" si="6">(N3/G3)*100</f>
        <v>16.568047337278106</v>
      </c>
      <c r="W3" s="31">
        <v>87.706900000000005</v>
      </c>
      <c r="X3" s="31">
        <v>16.548500000000001</v>
      </c>
      <c r="Y3" s="29">
        <f t="shared" ref="Y3:Y11" si="7">(((I3*J3)+(K3*L3))/H3)</f>
        <v>3.1725059101654844</v>
      </c>
      <c r="Z3" s="29">
        <f t="shared" ref="Z3:Z5" si="8">(((O3*P3)+(Q3*R3))/N3)</f>
        <v>1.5301190476190476</v>
      </c>
      <c r="AA3" s="32">
        <f t="shared" ref="AA3:AA10" si="9">((M3/(M3+S3)))</f>
        <v>0.91259435566133973</v>
      </c>
      <c r="AB3" s="32">
        <f t="shared" ref="AB3" si="10">((S3/(M3+S3)))</f>
        <v>8.7405644338660313E-2</v>
      </c>
      <c r="AC3" s="27" t="s">
        <v>31</v>
      </c>
      <c r="AD3" s="31">
        <v>0.5</v>
      </c>
      <c r="AE3" s="27">
        <v>2</v>
      </c>
    </row>
    <row r="4" spans="1:31" x14ac:dyDescent="0.25">
      <c r="A4" s="38" t="s">
        <v>32</v>
      </c>
      <c r="B4" s="33">
        <v>46063</v>
      </c>
      <c r="C4" s="34" t="s">
        <v>30</v>
      </c>
      <c r="D4" s="34">
        <v>62.9</v>
      </c>
      <c r="E4" s="28">
        <f t="shared" si="0"/>
        <v>2.8921585365853653</v>
      </c>
      <c r="F4" s="27">
        <f t="shared" si="1"/>
        <v>5.4999999999999929</v>
      </c>
      <c r="G4" s="27">
        <f t="shared" si="2"/>
        <v>57.400000000000006</v>
      </c>
      <c r="H4" s="34">
        <v>29.46</v>
      </c>
      <c r="I4" s="34">
        <v>12.95</v>
      </c>
      <c r="J4" s="28">
        <v>11.37</v>
      </c>
      <c r="K4" s="34">
        <v>12.16</v>
      </c>
      <c r="L4" s="28">
        <v>7.0000000000000007E-2</v>
      </c>
      <c r="M4" s="29">
        <f t="shared" si="3"/>
        <v>148.09269999999998</v>
      </c>
      <c r="N4" s="34">
        <v>27.94</v>
      </c>
      <c r="O4" s="34">
        <v>3.78</v>
      </c>
      <c r="P4" s="28">
        <v>3.59</v>
      </c>
      <c r="Q4" s="34">
        <v>20.7</v>
      </c>
      <c r="R4" s="28">
        <v>0.21</v>
      </c>
      <c r="S4" s="29">
        <f t="shared" ref="S4:S11" si="11">(N4*Z4)</f>
        <v>17.917199999999998</v>
      </c>
      <c r="T4" s="30">
        <f t="shared" si="4"/>
        <v>16.73</v>
      </c>
      <c r="U4" s="30">
        <f t="shared" si="5"/>
        <v>32.86</v>
      </c>
      <c r="V4" s="31">
        <f t="shared" si="6"/>
        <v>48.675958188153309</v>
      </c>
      <c r="W4" s="35">
        <v>43.957900000000002</v>
      </c>
      <c r="X4" s="35">
        <v>41.276299999999999</v>
      </c>
      <c r="Y4" s="29">
        <f t="shared" si="7"/>
        <v>5.0269076714188721</v>
      </c>
      <c r="Z4" s="29">
        <f t="shared" si="8"/>
        <v>0.64127415891195405</v>
      </c>
      <c r="AA4" s="32">
        <f t="shared" si="9"/>
        <v>0.89207149694084509</v>
      </c>
      <c r="AB4" s="32">
        <f>((S4/(M4+S4)))</f>
        <v>0.1079285030591549</v>
      </c>
      <c r="AC4" s="34" t="s">
        <v>31</v>
      </c>
      <c r="AD4" s="35">
        <v>0.5</v>
      </c>
      <c r="AE4" s="34">
        <v>2</v>
      </c>
    </row>
    <row r="5" spans="1:31" x14ac:dyDescent="0.25">
      <c r="A5" s="39" t="s">
        <v>33</v>
      </c>
      <c r="B5" s="26">
        <v>46065</v>
      </c>
      <c r="C5" s="27" t="s">
        <v>30</v>
      </c>
      <c r="D5" s="27">
        <v>96.18</v>
      </c>
      <c r="E5" s="28">
        <f t="shared" si="0"/>
        <v>2.20778120978121</v>
      </c>
      <c r="F5" s="27">
        <f t="shared" si="1"/>
        <v>18.480000000000004</v>
      </c>
      <c r="G5" s="27">
        <f t="shared" si="2"/>
        <v>77.7</v>
      </c>
      <c r="H5" s="27">
        <v>48.84</v>
      </c>
      <c r="I5" s="27">
        <v>38.119999999999997</v>
      </c>
      <c r="J5" s="29">
        <v>4.2</v>
      </c>
      <c r="K5" s="27">
        <v>6.38</v>
      </c>
      <c r="L5" s="29">
        <v>0.95</v>
      </c>
      <c r="M5" s="29">
        <f t="shared" si="3"/>
        <v>166.16499999999999</v>
      </c>
      <c r="N5" s="27">
        <v>28.86</v>
      </c>
      <c r="O5" s="27">
        <v>6.3</v>
      </c>
      <c r="P5" s="29">
        <v>0.62</v>
      </c>
      <c r="Q5" s="27">
        <v>18.420000000000002</v>
      </c>
      <c r="R5" s="29">
        <v>0.08</v>
      </c>
      <c r="S5" s="29">
        <f t="shared" si="11"/>
        <v>5.3795999999999999</v>
      </c>
      <c r="T5" s="30">
        <f t="shared" si="4"/>
        <v>44.419999999999995</v>
      </c>
      <c r="U5" s="30">
        <f t="shared" si="5"/>
        <v>24.8</v>
      </c>
      <c r="V5" s="31">
        <f t="shared" si="6"/>
        <v>37.142857142857139</v>
      </c>
      <c r="W5" s="31">
        <v>78.050799999999995</v>
      </c>
      <c r="X5" s="31">
        <v>13.0631</v>
      </c>
      <c r="Y5" s="29">
        <f t="shared" si="7"/>
        <v>3.4022317772317767</v>
      </c>
      <c r="Z5" s="29">
        <f t="shared" si="8"/>
        <v>0.18640332640332641</v>
      </c>
      <c r="AA5" s="32">
        <f t="shared" si="9"/>
        <v>0.96864022534081506</v>
      </c>
      <c r="AB5" s="32">
        <f>((S5/(M5+S5)))</f>
        <v>3.1359774659184839E-2</v>
      </c>
      <c r="AC5" s="34" t="s">
        <v>31</v>
      </c>
      <c r="AD5" s="31">
        <v>0.5</v>
      </c>
      <c r="AE5" s="27">
        <v>2</v>
      </c>
    </row>
    <row r="6" spans="1:31" x14ac:dyDescent="0.25">
      <c r="A6" s="39" t="s">
        <v>33</v>
      </c>
      <c r="B6" s="26">
        <v>46072</v>
      </c>
      <c r="C6" s="27" t="s">
        <v>30</v>
      </c>
      <c r="D6" s="27">
        <v>108.15</v>
      </c>
      <c r="E6" s="28">
        <f t="shared" si="0"/>
        <v>3.1718317802844536</v>
      </c>
      <c r="F6" s="27">
        <f t="shared" si="1"/>
        <v>26.590000000000003</v>
      </c>
      <c r="G6" s="27">
        <f t="shared" si="2"/>
        <v>81.56</v>
      </c>
      <c r="H6" s="27">
        <v>60.1</v>
      </c>
      <c r="I6" s="27">
        <v>35.36</v>
      </c>
      <c r="J6" s="29">
        <v>4.49</v>
      </c>
      <c r="K6" s="27">
        <v>18.72</v>
      </c>
      <c r="L6" s="29">
        <v>0.11</v>
      </c>
      <c r="M6" s="29">
        <f t="shared" si="3"/>
        <v>160.82560000000001</v>
      </c>
      <c r="N6" s="27">
        <v>21.46</v>
      </c>
      <c r="O6" s="27">
        <v>6.7</v>
      </c>
      <c r="P6" s="29">
        <v>14.39</v>
      </c>
      <c r="Q6" s="27">
        <v>10.4</v>
      </c>
      <c r="R6" s="29">
        <v>0.14000000000000001</v>
      </c>
      <c r="S6" s="29">
        <f t="shared" si="11"/>
        <v>97.869000000000014</v>
      </c>
      <c r="T6" s="30">
        <f t="shared" si="4"/>
        <v>42.06</v>
      </c>
      <c r="U6" s="30">
        <f t="shared" si="5"/>
        <v>29.119999999999997</v>
      </c>
      <c r="V6" s="31">
        <f t="shared" si="6"/>
        <v>26.311917606669937</v>
      </c>
      <c r="W6" s="31">
        <f t="shared" ref="W6:W11" si="12">(I6/H6)*100</f>
        <v>58.835274542429282</v>
      </c>
      <c r="X6" s="31">
        <f>(K6/I6)*100</f>
        <v>52.941176470588239</v>
      </c>
      <c r="Y6" s="29">
        <f t="shared" si="7"/>
        <v>2.6759667221297838</v>
      </c>
      <c r="Z6" s="29">
        <f>(((O6*P6)+(Q6*R6))/N6)</f>
        <v>4.5605312208760491</v>
      </c>
      <c r="AA6" s="32">
        <f t="shared" si="9"/>
        <v>0.62168131843494212</v>
      </c>
      <c r="AB6" s="32">
        <f t="shared" ref="AB6:AB7" si="13">((S6/(M6+S6)))</f>
        <v>0.37831868156505777</v>
      </c>
      <c r="AC6" s="27" t="s">
        <v>31</v>
      </c>
      <c r="AD6" s="18">
        <v>0.8</v>
      </c>
      <c r="AE6" s="19">
        <v>2</v>
      </c>
    </row>
    <row r="7" spans="1:31" x14ac:dyDescent="0.25">
      <c r="A7" s="38" t="s">
        <v>34</v>
      </c>
      <c r="B7" s="33">
        <v>46079</v>
      </c>
      <c r="C7" s="34" t="s">
        <v>30</v>
      </c>
      <c r="D7" s="34">
        <v>101</v>
      </c>
      <c r="E7" s="28">
        <f t="shared" si="0"/>
        <v>2.7578069921987867</v>
      </c>
      <c r="F7" s="27">
        <f t="shared" si="1"/>
        <v>31.78</v>
      </c>
      <c r="G7" s="27">
        <f t="shared" si="2"/>
        <v>69.22</v>
      </c>
      <c r="H7" s="34">
        <v>28.7</v>
      </c>
      <c r="I7" s="34">
        <v>19.079999999999998</v>
      </c>
      <c r="J7" s="28">
        <v>7.52</v>
      </c>
      <c r="K7" s="34">
        <v>9.6199999999999992</v>
      </c>
      <c r="L7" s="28">
        <v>0.45</v>
      </c>
      <c r="M7" s="29">
        <f t="shared" si="3"/>
        <v>147.81059999999999</v>
      </c>
      <c r="N7" s="34">
        <v>40.520000000000003</v>
      </c>
      <c r="O7" s="34">
        <v>11.12</v>
      </c>
      <c r="P7" s="28">
        <v>3.24</v>
      </c>
      <c r="Q7" s="34">
        <v>29.4</v>
      </c>
      <c r="R7" s="28">
        <v>0.24</v>
      </c>
      <c r="S7" s="29">
        <f t="shared" si="11"/>
        <v>43.084799999999994</v>
      </c>
      <c r="T7" s="30">
        <f t="shared" si="4"/>
        <v>30.199999999999996</v>
      </c>
      <c r="U7" s="30">
        <f t="shared" si="5"/>
        <v>39.019999999999996</v>
      </c>
      <c r="V7" s="31">
        <f t="shared" si="6"/>
        <v>58.537994799190997</v>
      </c>
      <c r="W7" s="31">
        <f t="shared" si="12"/>
        <v>66.480836236933797</v>
      </c>
      <c r="X7" s="31">
        <f>(K7/H7)*100</f>
        <v>33.519163763066203</v>
      </c>
      <c r="Y7" s="29">
        <f t="shared" si="7"/>
        <v>5.150195121951219</v>
      </c>
      <c r="Z7" s="29">
        <f t="shared" ref="Z7:Z11" si="14">(((O7*P7)+(Q7*R7))/N7)</f>
        <v>1.0632971372161892</v>
      </c>
      <c r="AA7" s="32">
        <f t="shared" si="9"/>
        <v>0.7743015284810425</v>
      </c>
      <c r="AB7" s="32">
        <f t="shared" si="13"/>
        <v>0.22569847151895747</v>
      </c>
      <c r="AC7" s="34" t="s">
        <v>35</v>
      </c>
      <c r="AD7" s="35">
        <v>0.8</v>
      </c>
      <c r="AE7" s="34">
        <v>1</v>
      </c>
    </row>
    <row r="8" spans="1:31" x14ac:dyDescent="0.25">
      <c r="A8" s="39" t="s">
        <v>36</v>
      </c>
      <c r="B8" s="26">
        <v>46086</v>
      </c>
      <c r="C8" s="27" t="s">
        <v>30</v>
      </c>
      <c r="D8" s="27">
        <v>96.18</v>
      </c>
      <c r="E8" s="28">
        <f t="shared" si="0"/>
        <v>1.1731260191008619</v>
      </c>
      <c r="F8" s="27">
        <f t="shared" si="1"/>
        <v>10.320000000000007</v>
      </c>
      <c r="G8" s="27">
        <f t="shared" si="2"/>
        <v>85.86</v>
      </c>
      <c r="H8" s="27">
        <v>66</v>
      </c>
      <c r="I8" s="27">
        <v>21.92</v>
      </c>
      <c r="J8" s="29">
        <v>3.87</v>
      </c>
      <c r="K8" s="27">
        <v>44.08</v>
      </c>
      <c r="L8" s="29">
        <v>0.19</v>
      </c>
      <c r="M8" s="29">
        <f t="shared" si="3"/>
        <v>93.205600000000004</v>
      </c>
      <c r="N8" s="27">
        <v>19.86</v>
      </c>
      <c r="O8" s="27">
        <v>2.54</v>
      </c>
      <c r="P8" s="29">
        <v>0.71</v>
      </c>
      <c r="Q8" s="27">
        <v>17.32</v>
      </c>
      <c r="R8" s="29">
        <v>0.33</v>
      </c>
      <c r="S8" s="29">
        <f t="shared" si="11"/>
        <v>7.5190000000000001</v>
      </c>
      <c r="T8" s="30">
        <f t="shared" si="4"/>
        <v>24.46</v>
      </c>
      <c r="U8" s="30">
        <f t="shared" si="5"/>
        <v>61.4</v>
      </c>
      <c r="V8" s="31">
        <f t="shared" si="6"/>
        <v>23.13067784765898</v>
      </c>
      <c r="W8" s="31">
        <f t="shared" si="12"/>
        <v>33.212121212121218</v>
      </c>
      <c r="X8" s="31">
        <f>(K8/H8)*100</f>
        <v>66.787878787878782</v>
      </c>
      <c r="Y8" s="29">
        <f t="shared" si="7"/>
        <v>1.4122060606060607</v>
      </c>
      <c r="Z8" s="29">
        <f t="shared" si="14"/>
        <v>0.37860020140986911</v>
      </c>
      <c r="AA8" s="32">
        <f t="shared" si="9"/>
        <v>0.92535090732551928</v>
      </c>
      <c r="AB8" s="32">
        <f>((S8/(M8+S8)))</f>
        <v>7.4649092674480708E-2</v>
      </c>
      <c r="AC8" s="27" t="s">
        <v>35</v>
      </c>
      <c r="AD8" s="31">
        <v>0.9</v>
      </c>
      <c r="AE8" s="27">
        <v>2</v>
      </c>
    </row>
    <row r="9" spans="1:31" x14ac:dyDescent="0.25">
      <c r="A9" s="38" t="s">
        <v>37</v>
      </c>
      <c r="B9" s="33">
        <v>46098</v>
      </c>
      <c r="C9" s="34" t="s">
        <v>30</v>
      </c>
      <c r="D9" s="34">
        <v>197.16</v>
      </c>
      <c r="E9" s="28">
        <f t="shared" si="0"/>
        <v>1.8472620787034195</v>
      </c>
      <c r="F9" s="27">
        <f t="shared" si="1"/>
        <v>34.27000000000001</v>
      </c>
      <c r="G9" s="27">
        <f t="shared" si="2"/>
        <v>162.88999999999999</v>
      </c>
      <c r="H9" s="34">
        <v>135.94</v>
      </c>
      <c r="I9" s="34">
        <v>54.96</v>
      </c>
      <c r="J9" s="28">
        <v>4.49</v>
      </c>
      <c r="K9" s="34">
        <v>80.975999999999999</v>
      </c>
      <c r="L9" s="28">
        <v>0.47</v>
      </c>
      <c r="M9" s="29">
        <f t="shared" si="3"/>
        <v>284.82911999999999</v>
      </c>
      <c r="N9" s="34">
        <v>26.95</v>
      </c>
      <c r="O9" s="34">
        <v>1.85</v>
      </c>
      <c r="P9" s="28">
        <v>2.1800000000000002</v>
      </c>
      <c r="Q9" s="34">
        <v>25.08</v>
      </c>
      <c r="R9" s="28">
        <v>0.48</v>
      </c>
      <c r="S9" s="29">
        <f t="shared" si="11"/>
        <v>16.071400000000001</v>
      </c>
      <c r="T9" s="30">
        <f t="shared" si="4"/>
        <v>56.81</v>
      </c>
      <c r="U9" s="30">
        <f t="shared" ref="U9:U10" si="15">Q9+K9</f>
        <v>106.056</v>
      </c>
      <c r="V9" s="31">
        <f t="shared" si="6"/>
        <v>16.54490760636012</v>
      </c>
      <c r="W9" s="31">
        <f t="shared" si="12"/>
        <v>40.42960129468883</v>
      </c>
      <c r="X9" s="31">
        <f>(K9/H9)*100</f>
        <v>59.567456230690006</v>
      </c>
      <c r="Y9" s="29">
        <f t="shared" si="7"/>
        <v>2.0952561424157716</v>
      </c>
      <c r="Z9" s="29">
        <f t="shared" si="14"/>
        <v>0.59634137291280154</v>
      </c>
      <c r="AA9" s="32">
        <f t="shared" si="9"/>
        <v>0.94658899226894</v>
      </c>
      <c r="AB9" s="32">
        <f>((S9/(M9+S9)))</f>
        <v>5.3411007731060091E-2</v>
      </c>
      <c r="AC9" s="34" t="s">
        <v>35</v>
      </c>
      <c r="AD9" s="35">
        <v>0.9</v>
      </c>
      <c r="AE9" s="34">
        <v>2</v>
      </c>
    </row>
    <row r="10" spans="1:31" ht="25.5" x14ac:dyDescent="0.25">
      <c r="A10" s="39" t="s">
        <v>38</v>
      </c>
      <c r="B10" s="26">
        <v>46157</v>
      </c>
      <c r="C10" s="27" t="s">
        <v>39</v>
      </c>
      <c r="D10" s="27">
        <v>30</v>
      </c>
      <c r="E10" s="28">
        <f t="shared" si="0"/>
        <v>1.3955588235294116</v>
      </c>
      <c r="F10" s="27">
        <f t="shared" si="1"/>
        <v>2.7999999999999972</v>
      </c>
      <c r="G10" s="27">
        <f t="shared" si="2"/>
        <v>27.200000000000003</v>
      </c>
      <c r="H10" s="27">
        <v>15.8</v>
      </c>
      <c r="I10" s="27">
        <v>6.86</v>
      </c>
      <c r="J10" s="29">
        <v>3.96</v>
      </c>
      <c r="K10" s="27">
        <v>8.94</v>
      </c>
      <c r="L10" s="29">
        <v>0.26</v>
      </c>
      <c r="M10" s="29">
        <f t="shared" si="3"/>
        <v>29.490000000000002</v>
      </c>
      <c r="N10" s="27">
        <v>11.4</v>
      </c>
      <c r="O10" s="27">
        <v>2.38</v>
      </c>
      <c r="P10" s="29">
        <v>2.99</v>
      </c>
      <c r="Q10" s="27">
        <v>9.02</v>
      </c>
      <c r="R10" s="29">
        <v>0.15</v>
      </c>
      <c r="S10" s="29">
        <f t="shared" si="11"/>
        <v>8.4692000000000007</v>
      </c>
      <c r="T10" s="30">
        <f t="shared" ref="T10" si="16">O10+I10</f>
        <v>9.24</v>
      </c>
      <c r="U10" s="30">
        <f t="shared" si="15"/>
        <v>17.96</v>
      </c>
      <c r="V10" s="31">
        <f t="shared" si="6"/>
        <v>41.911764705882348</v>
      </c>
      <c r="W10" s="31">
        <f t="shared" si="12"/>
        <v>43.417721518987342</v>
      </c>
      <c r="X10" s="31">
        <f>(K10/H10)*100</f>
        <v>56.582278481012651</v>
      </c>
      <c r="Y10" s="29">
        <f t="shared" si="7"/>
        <v>1.8664556962025316</v>
      </c>
      <c r="Z10" s="29">
        <f t="shared" si="14"/>
        <v>0.74291228070175441</v>
      </c>
      <c r="AA10" s="32">
        <f t="shared" si="9"/>
        <v>0.77688676262934941</v>
      </c>
      <c r="AB10" s="32">
        <f>((S10/(M10+S10)))</f>
        <v>0.22311323737065059</v>
      </c>
      <c r="AC10" s="27" t="s">
        <v>40</v>
      </c>
      <c r="AD10" s="31">
        <v>0.93</v>
      </c>
      <c r="AE10" s="27">
        <v>2</v>
      </c>
    </row>
    <row r="11" spans="1:31" ht="25.5" x14ac:dyDescent="0.25">
      <c r="A11" s="38" t="s">
        <v>41</v>
      </c>
      <c r="B11" s="33">
        <v>46163</v>
      </c>
      <c r="C11" s="34" t="s">
        <v>39</v>
      </c>
      <c r="D11" s="34">
        <v>83.46</v>
      </c>
      <c r="E11" s="28">
        <f t="shared" si="0"/>
        <v>0.86637103809246874</v>
      </c>
      <c r="F11" s="27">
        <f t="shared" si="1"/>
        <v>14.679999999999993</v>
      </c>
      <c r="G11" s="27">
        <f t="shared" si="2"/>
        <v>68.78</v>
      </c>
      <c r="H11" s="34">
        <v>51.68</v>
      </c>
      <c r="I11" s="34">
        <v>32.44</v>
      </c>
      <c r="J11" s="28">
        <v>1.6</v>
      </c>
      <c r="K11" s="34">
        <v>19.239999999999998</v>
      </c>
      <c r="L11" s="28">
        <v>0.15</v>
      </c>
      <c r="M11" s="29">
        <f t="shared" si="3"/>
        <v>54.79</v>
      </c>
      <c r="N11" s="34">
        <v>17.100000000000001</v>
      </c>
      <c r="O11" s="34">
        <v>6.52</v>
      </c>
      <c r="P11" s="28">
        <v>0.59</v>
      </c>
      <c r="Q11" s="34">
        <v>10.58</v>
      </c>
      <c r="R11" s="28">
        <v>0.09</v>
      </c>
      <c r="S11" s="29">
        <f t="shared" si="11"/>
        <v>4.7989999999999995</v>
      </c>
      <c r="T11" s="30">
        <f>O11+I11</f>
        <v>38.959999999999994</v>
      </c>
      <c r="U11" s="30">
        <f>Q11+K11</f>
        <v>29.82</v>
      </c>
      <c r="V11" s="31">
        <f t="shared" si="6"/>
        <v>24.861878453038674</v>
      </c>
      <c r="W11" s="31">
        <f t="shared" si="12"/>
        <v>62.770897832817326</v>
      </c>
      <c r="X11" s="31">
        <f>(K11/H11)*100</f>
        <v>37.22910216718266</v>
      </c>
      <c r="Y11" s="29">
        <f t="shared" si="7"/>
        <v>1.0601780185758514</v>
      </c>
      <c r="Z11" s="29">
        <f t="shared" si="14"/>
        <v>0.28064327485380114</v>
      </c>
      <c r="AA11" s="32">
        <f>((M11/(M11+S11)))</f>
        <v>0.91946500192988645</v>
      </c>
      <c r="AB11" s="32">
        <f>((S11/(M11+S11)))</f>
        <v>8.0534998070113606E-2</v>
      </c>
      <c r="AC11" s="34" t="s">
        <v>40</v>
      </c>
      <c r="AD11" s="35">
        <v>0.93</v>
      </c>
      <c r="AE11" s="34">
        <v>2</v>
      </c>
    </row>
    <row r="12" spans="1:31" x14ac:dyDescent="0.25">
      <c r="A12" s="36" t="s">
        <v>105</v>
      </c>
      <c r="B12" s="25"/>
      <c r="C12" s="25"/>
      <c r="D12" s="17"/>
    </row>
    <row r="19" spans="5:5" x14ac:dyDescent="0.25">
      <c r="E19" t="s">
        <v>104</v>
      </c>
    </row>
  </sheetData>
  <mergeCells count="1">
    <mergeCell ref="A1:AE1"/>
  </mergeCells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843"/>
  </sheetPr>
  <dimension ref="A1:Z114"/>
  <sheetViews>
    <sheetView showGridLines="0" zoomScale="80" zoomScaleNormal="80" workbookViewId="0">
      <selection activeCell="A2" sqref="A2:Z2"/>
    </sheetView>
  </sheetViews>
  <sheetFormatPr baseColWidth="10" defaultColWidth="8.7109375" defaultRowHeight="15" x14ac:dyDescent="0.25"/>
  <cols>
    <col min="1" max="19" width="10" customWidth="1"/>
    <col min="26" max="26" width="3.42578125" customWidth="1"/>
  </cols>
  <sheetData>
    <row r="1" spans="1:26" ht="42" customHeight="1" x14ac:dyDescent="0.25">
      <c r="A1" s="40" t="s">
        <v>103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7.75" customHeight="1" x14ac:dyDescent="0.25">
      <c r="A2" s="41" t="s">
        <v>42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1.75" customHeight="1" x14ac:dyDescent="0.25">
      <c r="A3" s="42" t="s">
        <v>43</v>
      </c>
      <c r="B3" s="42"/>
      <c r="C3" s="42"/>
      <c r="D3" s="16"/>
      <c r="E3" s="42" t="s">
        <v>44</v>
      </c>
      <c r="F3" s="42"/>
      <c r="G3" s="42"/>
      <c r="H3" s="16"/>
      <c r="I3" s="42" t="s">
        <v>45</v>
      </c>
      <c r="J3" s="42"/>
      <c r="K3" s="42"/>
      <c r="L3" s="16"/>
      <c r="M3" s="42" t="s">
        <v>46</v>
      </c>
      <c r="N3" s="42"/>
      <c r="O3" s="42"/>
      <c r="P3" s="16"/>
      <c r="Q3" s="42" t="s">
        <v>47</v>
      </c>
      <c r="R3" s="42"/>
      <c r="S3" s="42"/>
      <c r="T3" s="15"/>
      <c r="U3" s="15"/>
      <c r="V3" s="15"/>
      <c r="W3" s="15"/>
      <c r="X3" s="15"/>
      <c r="Y3" s="15"/>
      <c r="Z3" s="15"/>
    </row>
    <row r="4" spans="1:26" ht="31.5" customHeight="1" x14ac:dyDescent="0.25">
      <c r="A4" s="43">
        <f>KPIs!C3</f>
        <v>85.973117655696441</v>
      </c>
      <c r="B4" s="43"/>
      <c r="C4" s="43"/>
      <c r="D4" s="16"/>
      <c r="E4" s="43">
        <f>KPIs!C4</f>
        <v>14.026882344303559</v>
      </c>
      <c r="F4" s="43"/>
      <c r="G4" s="43"/>
      <c r="H4" s="16"/>
      <c r="I4" s="43">
        <f>KPIs!C5</f>
        <v>2.9231802522799932</v>
      </c>
      <c r="J4" s="43"/>
      <c r="K4" s="43"/>
      <c r="L4" s="16"/>
      <c r="M4" s="43">
        <f>KPIs!C6</f>
        <v>81.775632275768046</v>
      </c>
      <c r="N4" s="43"/>
      <c r="O4" s="43"/>
      <c r="P4" s="16"/>
      <c r="Q4" s="43">
        <f>KPIs!C7</f>
        <v>45.729494632516193</v>
      </c>
      <c r="R4" s="43"/>
      <c r="S4" s="43"/>
      <c r="T4" s="15"/>
      <c r="U4" s="15"/>
      <c r="V4" s="15"/>
      <c r="W4" s="15"/>
      <c r="X4" s="15"/>
      <c r="Y4" s="15"/>
      <c r="Z4" s="15"/>
    </row>
    <row r="5" spans="1:26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"/>
      <c r="U5" s="15"/>
      <c r="V5" s="15"/>
      <c r="W5" s="15"/>
      <c r="X5" s="15"/>
      <c r="Y5" s="15"/>
      <c r="Z5" s="15"/>
    </row>
    <row r="6" spans="1:26" ht="21.75" customHeight="1" x14ac:dyDescent="0.25">
      <c r="A6" s="42" t="s">
        <v>48</v>
      </c>
      <c r="B6" s="42"/>
      <c r="C6" s="42"/>
      <c r="D6" s="16"/>
      <c r="E6" s="42" t="s">
        <v>49</v>
      </c>
      <c r="F6" s="42"/>
      <c r="G6" s="42"/>
      <c r="H6" s="16"/>
      <c r="I6" s="42" t="s">
        <v>50</v>
      </c>
      <c r="J6" s="42"/>
      <c r="K6" s="42"/>
      <c r="L6" s="16"/>
      <c r="M6" s="42" t="s">
        <v>51</v>
      </c>
      <c r="N6" s="42"/>
      <c r="O6" s="42"/>
      <c r="P6" s="16"/>
      <c r="Q6" s="16"/>
      <c r="R6" s="16"/>
      <c r="S6" s="16"/>
      <c r="T6" s="15"/>
      <c r="U6" s="15"/>
      <c r="V6" s="15"/>
      <c r="W6" s="15"/>
      <c r="X6" s="15"/>
      <c r="Y6" s="15"/>
      <c r="Z6" s="15"/>
    </row>
    <row r="7" spans="1:26" ht="31.5" customHeight="1" x14ac:dyDescent="0.25">
      <c r="A7" s="43">
        <f>KPIs!C8</f>
        <v>32.631778187454401</v>
      </c>
      <c r="B7" s="43"/>
      <c r="C7" s="43"/>
      <c r="D7" s="16"/>
      <c r="E7" s="43">
        <f>KPIs!C9</f>
        <v>19.194594822881651</v>
      </c>
      <c r="F7" s="43"/>
      <c r="G7" s="43"/>
      <c r="H7" s="16"/>
      <c r="I7" s="43">
        <f>KPIs!C10</f>
        <v>40.571714088327788</v>
      </c>
      <c r="J7" s="43"/>
      <c r="K7" s="43"/>
      <c r="L7" s="16"/>
      <c r="M7" s="43">
        <f>KPIs!C11</f>
        <v>28.248187325290981</v>
      </c>
      <c r="N7" s="43"/>
      <c r="O7" s="43"/>
      <c r="P7" s="16"/>
      <c r="Q7" s="16"/>
      <c r="R7" s="16"/>
      <c r="S7" s="16"/>
      <c r="T7" s="15"/>
      <c r="U7" s="15"/>
      <c r="V7" s="15"/>
      <c r="W7" s="15"/>
      <c r="X7" s="15"/>
      <c r="Y7" s="15"/>
      <c r="Z7" s="15"/>
    </row>
    <row r="8" spans="1:26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5"/>
      <c r="U8" s="15"/>
      <c r="V8" s="15"/>
      <c r="W8" s="15"/>
      <c r="X8" s="15"/>
      <c r="Y8" s="15"/>
      <c r="Z8" s="15"/>
    </row>
    <row r="9" spans="1:26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5"/>
      <c r="U9" s="15"/>
      <c r="V9" s="15"/>
      <c r="W9" s="15"/>
      <c r="X9" s="15"/>
      <c r="Y9" s="15"/>
      <c r="Z9" s="15"/>
    </row>
    <row r="10" spans="1:26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5"/>
      <c r="U10" s="15"/>
      <c r="V10" s="15"/>
      <c r="W10" s="15"/>
      <c r="X10" s="15"/>
      <c r="Y10" s="15"/>
      <c r="Z10" s="15"/>
    </row>
    <row r="11" spans="1:26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5"/>
      <c r="U11" s="15"/>
      <c r="V11" s="15"/>
      <c r="W11" s="15"/>
      <c r="X11" s="15"/>
      <c r="Y11" s="15"/>
      <c r="Z11" s="15"/>
    </row>
    <row r="12" spans="1:26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5"/>
      <c r="U12" s="15"/>
      <c r="V12" s="15"/>
      <c r="W12" s="15"/>
      <c r="X12" s="15"/>
      <c r="Y12" s="15"/>
      <c r="Z12" s="15"/>
    </row>
    <row r="13" spans="1:26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"/>
      <c r="U13" s="15"/>
      <c r="V13" s="15"/>
      <c r="W13" s="15"/>
      <c r="X13" s="15"/>
      <c r="Y13" s="15"/>
      <c r="Z13" s="15"/>
    </row>
    <row r="14" spans="1:26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5"/>
      <c r="U14" s="15"/>
      <c r="V14" s="15"/>
      <c r="W14" s="15"/>
      <c r="X14" s="15"/>
      <c r="Y14" s="15"/>
      <c r="Z14" s="15"/>
    </row>
    <row r="15" spans="1:26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"/>
      <c r="U15" s="15"/>
      <c r="V15" s="15"/>
      <c r="W15" s="15"/>
      <c r="X15" s="15"/>
      <c r="Y15" s="15"/>
      <c r="Z15" s="15"/>
    </row>
    <row r="16" spans="1:26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5"/>
      <c r="U16" s="15"/>
      <c r="V16" s="15"/>
      <c r="W16" s="15"/>
      <c r="X16" s="15"/>
      <c r="Y16" s="15"/>
      <c r="Z16" s="15"/>
    </row>
    <row r="17" spans="1:26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5"/>
      <c r="U17" s="15"/>
      <c r="V17" s="15"/>
      <c r="W17" s="15"/>
      <c r="X17" s="15"/>
      <c r="Y17" s="15"/>
      <c r="Z17" s="15"/>
    </row>
    <row r="18" spans="1:26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5"/>
      <c r="U18" s="15"/>
      <c r="V18" s="15"/>
      <c r="W18" s="15"/>
      <c r="X18" s="15"/>
      <c r="Y18" s="15"/>
      <c r="Z18" s="15"/>
    </row>
    <row r="19" spans="1:26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5"/>
      <c r="U19" s="15"/>
      <c r="V19" s="15"/>
      <c r="W19" s="15"/>
      <c r="X19" s="15"/>
      <c r="Y19" s="15"/>
      <c r="Z19" s="15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5"/>
      <c r="U20" s="15"/>
      <c r="V20" s="15"/>
      <c r="W20" s="15"/>
      <c r="X20" s="15"/>
      <c r="Y20" s="15"/>
      <c r="Z20" s="15"/>
    </row>
    <row r="21" spans="1:26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5"/>
      <c r="U21" s="15"/>
      <c r="V21" s="15"/>
      <c r="W21" s="15"/>
      <c r="X21" s="15"/>
      <c r="Y21" s="15"/>
      <c r="Z21" s="15"/>
    </row>
    <row r="22" spans="1:26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/>
      <c r="U22" s="15"/>
      <c r="V22" s="15"/>
      <c r="W22" s="15"/>
      <c r="X22" s="15"/>
      <c r="Y22" s="15"/>
      <c r="Z22" s="15"/>
    </row>
    <row r="23" spans="1:26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5"/>
      <c r="U23" s="15"/>
      <c r="V23" s="15"/>
      <c r="W23" s="15"/>
      <c r="X23" s="15"/>
      <c r="Y23" s="15"/>
      <c r="Z23" s="15"/>
    </row>
    <row r="24" spans="1:26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5"/>
      <c r="U24" s="15"/>
      <c r="V24" s="15"/>
      <c r="W24" s="15"/>
      <c r="X24" s="15"/>
      <c r="Y24" s="15"/>
      <c r="Z24" s="15"/>
    </row>
    <row r="25" spans="1:26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5"/>
      <c r="U25" s="15"/>
      <c r="V25" s="15"/>
      <c r="W25" s="15"/>
      <c r="X25" s="15"/>
      <c r="Y25" s="15"/>
      <c r="Z25" s="15"/>
    </row>
    <row r="26" spans="1:26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5"/>
      <c r="U26" s="15"/>
      <c r="V26" s="15"/>
      <c r="W26" s="15"/>
      <c r="X26" s="15"/>
      <c r="Y26" s="15"/>
      <c r="Z26" s="15"/>
    </row>
    <row r="27" spans="1:26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5"/>
      <c r="U27" s="15"/>
      <c r="V27" s="15"/>
      <c r="W27" s="15"/>
      <c r="X27" s="15"/>
      <c r="Y27" s="15"/>
      <c r="Z27" s="15"/>
    </row>
    <row r="28" spans="1:26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5"/>
      <c r="U28" s="15"/>
      <c r="V28" s="15"/>
      <c r="W28" s="15"/>
      <c r="X28" s="15"/>
      <c r="Y28" s="15"/>
      <c r="Z28" s="15"/>
    </row>
    <row r="29" spans="1:26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5"/>
      <c r="U29" s="15"/>
      <c r="V29" s="15"/>
      <c r="W29" s="15"/>
      <c r="X29" s="15"/>
      <c r="Y29" s="15"/>
      <c r="Z29" s="15"/>
    </row>
    <row r="30" spans="1:26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5"/>
      <c r="U30" s="15"/>
      <c r="V30" s="15"/>
      <c r="W30" s="15"/>
      <c r="X30" s="15"/>
      <c r="Y30" s="15"/>
      <c r="Z30" s="15"/>
    </row>
    <row r="31" spans="1:26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5"/>
      <c r="U31" s="15"/>
      <c r="V31" s="15"/>
      <c r="W31" s="15"/>
      <c r="X31" s="15"/>
      <c r="Y31" s="15"/>
      <c r="Z31" s="15"/>
    </row>
    <row r="32" spans="1:26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5"/>
      <c r="U32" s="15"/>
      <c r="V32" s="15"/>
      <c r="W32" s="15"/>
      <c r="X32" s="15"/>
      <c r="Y32" s="15"/>
      <c r="Z32" s="15"/>
    </row>
    <row r="33" spans="1:26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5"/>
      <c r="U33" s="15"/>
      <c r="V33" s="15"/>
      <c r="W33" s="15"/>
      <c r="X33" s="15"/>
      <c r="Y33" s="15"/>
      <c r="Z33" s="15"/>
    </row>
    <row r="34" spans="1:26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5"/>
      <c r="U34" s="15"/>
      <c r="V34" s="15"/>
      <c r="W34" s="15"/>
      <c r="X34" s="15"/>
      <c r="Y34" s="15"/>
      <c r="Z34" s="15"/>
    </row>
    <row r="35" spans="1:26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5"/>
      <c r="U35" s="15"/>
      <c r="V35" s="15"/>
      <c r="W35" s="15"/>
      <c r="X35" s="15"/>
      <c r="Y35" s="15"/>
      <c r="Z35" s="15"/>
    </row>
    <row r="36" spans="1:26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5"/>
      <c r="U36" s="15"/>
      <c r="V36" s="15"/>
      <c r="W36" s="15"/>
      <c r="X36" s="15"/>
      <c r="Y36" s="15"/>
      <c r="Z36" s="15"/>
    </row>
    <row r="37" spans="1:26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5"/>
      <c r="U37" s="15"/>
      <c r="V37" s="15"/>
      <c r="W37" s="15"/>
      <c r="X37" s="15"/>
      <c r="Y37" s="15"/>
      <c r="Z37" s="15"/>
    </row>
    <row r="38" spans="1:26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5"/>
      <c r="U38" s="15"/>
      <c r="V38" s="15"/>
      <c r="W38" s="15"/>
      <c r="X38" s="15"/>
      <c r="Y38" s="15"/>
      <c r="Z38" s="15"/>
    </row>
    <row r="39" spans="1:26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5"/>
      <c r="U39" s="15"/>
      <c r="V39" s="15"/>
      <c r="W39" s="15"/>
      <c r="X39" s="15"/>
      <c r="Y39" s="15"/>
      <c r="Z39" s="15"/>
    </row>
    <row r="40" spans="1:26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5"/>
      <c r="U40" s="15"/>
      <c r="V40" s="15"/>
      <c r="W40" s="15"/>
      <c r="X40" s="15"/>
      <c r="Y40" s="15"/>
      <c r="Z40" s="15"/>
    </row>
    <row r="41" spans="1:26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5"/>
      <c r="U41" s="15"/>
      <c r="V41" s="15"/>
      <c r="W41" s="15"/>
      <c r="X41" s="15"/>
      <c r="Y41" s="15"/>
      <c r="Z41" s="15"/>
    </row>
    <row r="42" spans="1:26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/>
      <c r="U42" s="15"/>
      <c r="V42" s="15"/>
      <c r="W42" s="15"/>
      <c r="X42" s="15"/>
      <c r="Y42" s="15"/>
      <c r="Z42" s="15"/>
    </row>
    <row r="43" spans="1:26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5"/>
      <c r="U43" s="15"/>
      <c r="V43" s="15"/>
      <c r="W43" s="15"/>
      <c r="X43" s="15"/>
      <c r="Y43" s="15"/>
      <c r="Z43" s="15"/>
    </row>
    <row r="44" spans="1:26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5"/>
      <c r="U44" s="15"/>
      <c r="V44" s="15"/>
      <c r="W44" s="15"/>
      <c r="X44" s="15"/>
      <c r="Y44" s="15"/>
      <c r="Z44" s="15"/>
    </row>
    <row r="45" spans="1:26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5"/>
      <c r="U45" s="15"/>
      <c r="V45" s="15"/>
      <c r="W45" s="15"/>
      <c r="X45" s="15"/>
      <c r="Y45" s="15"/>
      <c r="Z45" s="15"/>
    </row>
    <row r="46" spans="1:26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5"/>
      <c r="U46" s="15"/>
      <c r="V46" s="15"/>
      <c r="W46" s="15"/>
      <c r="X46" s="15"/>
      <c r="Y46" s="15"/>
      <c r="Z46" s="15"/>
    </row>
    <row r="47" spans="1:26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5"/>
      <c r="U47" s="15"/>
      <c r="V47" s="15"/>
      <c r="W47" s="15"/>
      <c r="X47" s="15"/>
      <c r="Y47" s="15"/>
      <c r="Z47" s="15"/>
    </row>
    <row r="48" spans="1:26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5"/>
      <c r="U48" s="15"/>
      <c r="V48" s="15"/>
      <c r="W48" s="15"/>
      <c r="X48" s="15"/>
      <c r="Y48" s="15"/>
      <c r="Z48" s="15"/>
    </row>
    <row r="49" spans="1:26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5"/>
      <c r="U49" s="15"/>
      <c r="V49" s="15"/>
      <c r="W49" s="15"/>
      <c r="X49" s="15"/>
      <c r="Y49" s="15"/>
      <c r="Z49" s="15"/>
    </row>
    <row r="50" spans="1:26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5"/>
      <c r="U50" s="15"/>
      <c r="V50" s="15"/>
      <c r="W50" s="15"/>
      <c r="X50" s="15"/>
      <c r="Y50" s="15"/>
      <c r="Z50" s="15"/>
    </row>
    <row r="51" spans="1:26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5"/>
      <c r="U51" s="15"/>
      <c r="V51" s="15"/>
      <c r="W51" s="15"/>
      <c r="X51" s="15"/>
      <c r="Y51" s="15"/>
      <c r="Z51" s="15"/>
    </row>
    <row r="52" spans="1:26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5"/>
      <c r="U52" s="15"/>
      <c r="V52" s="15"/>
      <c r="W52" s="15"/>
      <c r="X52" s="15"/>
      <c r="Y52" s="15"/>
      <c r="Z52" s="15"/>
    </row>
    <row r="53" spans="1:26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5"/>
      <c r="U53" s="15"/>
      <c r="V53" s="15"/>
      <c r="W53" s="15"/>
      <c r="X53" s="15"/>
      <c r="Y53" s="15"/>
      <c r="Z53" s="15"/>
    </row>
    <row r="54" spans="1:26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5"/>
      <c r="U54" s="15"/>
      <c r="V54" s="15"/>
      <c r="W54" s="15"/>
      <c r="X54" s="15"/>
      <c r="Y54" s="15"/>
      <c r="Z54" s="15"/>
    </row>
    <row r="55" spans="1:26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5"/>
      <c r="U55" s="15"/>
      <c r="V55" s="15"/>
      <c r="W55" s="15"/>
      <c r="X55" s="15"/>
      <c r="Y55" s="15"/>
      <c r="Z55" s="15"/>
    </row>
    <row r="56" spans="1:26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5"/>
      <c r="U56" s="15"/>
      <c r="V56" s="15"/>
      <c r="W56" s="15"/>
      <c r="X56" s="15"/>
      <c r="Y56" s="15"/>
      <c r="Z56" s="15"/>
    </row>
    <row r="57" spans="1:26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5"/>
      <c r="U57" s="15"/>
      <c r="V57" s="15"/>
      <c r="W57" s="15"/>
      <c r="X57" s="15"/>
      <c r="Y57" s="15"/>
      <c r="Z57" s="15"/>
    </row>
    <row r="58" spans="1:26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5"/>
      <c r="U58" s="15"/>
      <c r="V58" s="15"/>
      <c r="W58" s="15"/>
      <c r="X58" s="15"/>
      <c r="Y58" s="15"/>
      <c r="Z58" s="15"/>
    </row>
    <row r="59" spans="1:26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5"/>
      <c r="U59" s="15"/>
      <c r="V59" s="15"/>
      <c r="W59" s="15"/>
      <c r="X59" s="15"/>
      <c r="Y59" s="15"/>
      <c r="Z59" s="15"/>
    </row>
    <row r="60" spans="1:26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5"/>
      <c r="U60" s="15"/>
      <c r="V60" s="15"/>
      <c r="W60" s="15"/>
      <c r="X60" s="15"/>
      <c r="Y60" s="15"/>
      <c r="Z60" s="15"/>
    </row>
    <row r="61" spans="1:26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5"/>
      <c r="U61" s="15"/>
      <c r="V61" s="15"/>
      <c r="W61" s="15"/>
      <c r="X61" s="15"/>
      <c r="Y61" s="15"/>
      <c r="Z61" s="15"/>
    </row>
    <row r="62" spans="1:26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5"/>
      <c r="U62" s="15"/>
      <c r="V62" s="15"/>
      <c r="W62" s="15"/>
      <c r="X62" s="15"/>
      <c r="Y62" s="15"/>
      <c r="Z62" s="15"/>
    </row>
    <row r="63" spans="1:26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5"/>
      <c r="U63" s="15"/>
      <c r="V63" s="15"/>
      <c r="W63" s="15"/>
      <c r="X63" s="15"/>
      <c r="Y63" s="15"/>
      <c r="Z63" s="15"/>
    </row>
    <row r="64" spans="1:26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5"/>
      <c r="U64" s="15"/>
      <c r="V64" s="15"/>
      <c r="W64" s="15"/>
      <c r="X64" s="15"/>
      <c r="Y64" s="15"/>
      <c r="Z64" s="15"/>
    </row>
    <row r="65" spans="1:26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5"/>
      <c r="U65" s="15"/>
      <c r="V65" s="15"/>
      <c r="W65" s="15"/>
      <c r="X65" s="15"/>
      <c r="Y65" s="15"/>
      <c r="Z65" s="15"/>
    </row>
    <row r="66" spans="1:26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5"/>
      <c r="U66" s="15"/>
      <c r="V66" s="15"/>
      <c r="W66" s="15"/>
      <c r="X66" s="15"/>
      <c r="Y66" s="15"/>
      <c r="Z66" s="15"/>
    </row>
    <row r="67" spans="1:26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5"/>
      <c r="U67" s="15"/>
      <c r="V67" s="15"/>
      <c r="W67" s="15"/>
      <c r="X67" s="15"/>
      <c r="Y67" s="15"/>
      <c r="Z67" s="15"/>
    </row>
    <row r="68" spans="1:26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5"/>
      <c r="U68" s="15"/>
      <c r="V68" s="15"/>
      <c r="W68" s="15"/>
      <c r="X68" s="15"/>
      <c r="Y68" s="15"/>
      <c r="Z68" s="15"/>
    </row>
    <row r="69" spans="1:26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5"/>
      <c r="U69" s="15"/>
      <c r="V69" s="15"/>
      <c r="W69" s="15"/>
      <c r="X69" s="15"/>
      <c r="Y69" s="15"/>
      <c r="Z69" s="15"/>
    </row>
    <row r="70" spans="1:26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5"/>
      <c r="U70" s="15"/>
      <c r="V70" s="15"/>
      <c r="W70" s="15"/>
      <c r="X70" s="15"/>
      <c r="Y70" s="15"/>
      <c r="Z70" s="15"/>
    </row>
    <row r="71" spans="1:26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5"/>
      <c r="U71" s="15"/>
      <c r="V71" s="15"/>
      <c r="W71" s="15"/>
      <c r="X71" s="15"/>
      <c r="Y71" s="15"/>
      <c r="Z71" s="15"/>
    </row>
    <row r="72" spans="1:26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5"/>
      <c r="U72" s="15"/>
      <c r="V72" s="15"/>
      <c r="W72" s="15"/>
      <c r="X72" s="15"/>
      <c r="Y72" s="15"/>
      <c r="Z72" s="15"/>
    </row>
    <row r="73" spans="1:26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5"/>
      <c r="U73" s="15"/>
      <c r="V73" s="15"/>
      <c r="W73" s="15"/>
      <c r="X73" s="15"/>
      <c r="Y73" s="15"/>
      <c r="Z73" s="15"/>
    </row>
    <row r="74" spans="1:26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5"/>
      <c r="U74" s="15"/>
      <c r="V74" s="15"/>
      <c r="W74" s="15"/>
      <c r="X74" s="15"/>
      <c r="Y74" s="15"/>
      <c r="Z74" s="15"/>
    </row>
    <row r="75" spans="1:26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5"/>
      <c r="U75" s="15"/>
      <c r="V75" s="15"/>
      <c r="W75" s="15"/>
      <c r="X75" s="15"/>
      <c r="Y75" s="15"/>
      <c r="Z75" s="15"/>
    </row>
    <row r="76" spans="1:26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5"/>
      <c r="U76" s="15"/>
      <c r="V76" s="15"/>
      <c r="W76" s="15"/>
      <c r="X76" s="15"/>
      <c r="Y76" s="15"/>
      <c r="Z76" s="15"/>
    </row>
    <row r="77" spans="1:26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5"/>
      <c r="U77" s="15"/>
      <c r="V77" s="15"/>
      <c r="W77" s="15"/>
      <c r="X77" s="15"/>
      <c r="Y77" s="15"/>
      <c r="Z77" s="15"/>
    </row>
    <row r="78" spans="1:26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5"/>
      <c r="U78" s="15"/>
      <c r="V78" s="15"/>
      <c r="W78" s="15"/>
      <c r="X78" s="15"/>
      <c r="Y78" s="15"/>
      <c r="Z78" s="15"/>
    </row>
    <row r="79" spans="1:26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5"/>
      <c r="U79" s="15"/>
      <c r="V79" s="15"/>
      <c r="W79" s="15"/>
      <c r="X79" s="15"/>
      <c r="Y79" s="15"/>
      <c r="Z79" s="15"/>
    </row>
    <row r="80" spans="1:2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</sheetData>
  <mergeCells count="20">
    <mergeCell ref="A6:C6"/>
    <mergeCell ref="E6:G6"/>
    <mergeCell ref="I6:K6"/>
    <mergeCell ref="M6:O6"/>
    <mergeCell ref="A7:C7"/>
    <mergeCell ref="E7:G7"/>
    <mergeCell ref="I7:K7"/>
    <mergeCell ref="M7:O7"/>
    <mergeCell ref="A4:C4"/>
    <mergeCell ref="E4:G4"/>
    <mergeCell ref="I4:K4"/>
    <mergeCell ref="M4:O4"/>
    <mergeCell ref="Q4:S4"/>
    <mergeCell ref="A1:Z1"/>
    <mergeCell ref="A2:Z2"/>
    <mergeCell ref="A3:C3"/>
    <mergeCell ref="E3:G3"/>
    <mergeCell ref="I3:K3"/>
    <mergeCell ref="M3:O3"/>
    <mergeCell ref="Q3:S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F11"/>
  <sheetViews>
    <sheetView zoomScaleNormal="100" workbookViewId="0">
      <selection activeCell="F3" sqref="F3"/>
    </sheetView>
  </sheetViews>
  <sheetFormatPr baseColWidth="10" defaultColWidth="8.7109375" defaultRowHeight="15" x14ac:dyDescent="0.25"/>
  <cols>
    <col min="1" max="1" width="38" customWidth="1"/>
    <col min="2" max="2" width="40" customWidth="1"/>
    <col min="3" max="3" width="14" customWidth="1"/>
    <col min="4" max="4" width="16" customWidth="1"/>
    <col min="5" max="5" width="18" customWidth="1"/>
    <col min="6" max="6" width="14" customWidth="1"/>
  </cols>
  <sheetData>
    <row r="1" spans="1:6" ht="36" customHeight="1" x14ac:dyDescent="0.25">
      <c r="A1" s="44" t="s">
        <v>52</v>
      </c>
      <c r="B1" s="44"/>
      <c r="C1" s="44"/>
      <c r="D1" s="44"/>
      <c r="E1" s="44"/>
      <c r="F1" s="44"/>
    </row>
    <row r="2" spans="1:6" ht="30" x14ac:dyDescent="0.25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</row>
    <row r="3" spans="1:6" ht="27.75" customHeight="1" x14ac:dyDescent="0.25">
      <c r="A3" s="6" t="s">
        <v>59</v>
      </c>
      <c r="B3" s="7" t="s">
        <v>60</v>
      </c>
      <c r="C3" s="8">
        <f>AVERAGE(Datos!AA3:AA11)*100</f>
        <v>85.973117655696441</v>
      </c>
      <c r="D3" s="4">
        <f>Datos!AA11*100</f>
        <v>91.946500192988651</v>
      </c>
      <c r="E3" s="4">
        <f>Datos!AA10*100</f>
        <v>77.688676262934948</v>
      </c>
      <c r="F3" s="9" t="str">
        <f t="shared" ref="F3:F11" si="0">IF(D3&gt;E3,"▲ Mejora","▼ Baja")</f>
        <v>▲ Mejora</v>
      </c>
    </row>
    <row r="4" spans="1:6" ht="27.75" customHeight="1" x14ac:dyDescent="0.25">
      <c r="A4" s="6" t="s">
        <v>61</v>
      </c>
      <c r="B4" s="7" t="s">
        <v>62</v>
      </c>
      <c r="C4" s="8">
        <f>AVERAGE(Datos!AB3:AB11)*100</f>
        <v>14.026882344303559</v>
      </c>
      <c r="D4" s="4">
        <f>Datos!AB11*100</f>
        <v>8.0534998070113613</v>
      </c>
      <c r="E4" s="4">
        <f>Datos!AB10*100</f>
        <v>22.311323737065059</v>
      </c>
      <c r="F4" s="9" t="str">
        <f t="shared" si="0"/>
        <v>▼ Baja</v>
      </c>
    </row>
    <row r="5" spans="1:6" ht="27.75" customHeight="1" x14ac:dyDescent="0.25">
      <c r="A5" s="6" t="s">
        <v>63</v>
      </c>
      <c r="B5" s="7" t="s">
        <v>64</v>
      </c>
      <c r="C5" s="8">
        <f>AVERAGE(Datos!Y3*100/(Datos!H3/Datos!D3*100*Datos!E3),Datos!Y4*100/(Datos!H4/Datos!D4*100*Datos!E4),Datos!Y5*100/(Datos!H5/Datos!D5*100*Datos!E5),Datos!Y7*100/(Datos!H7/Datos!D7*100*Datos!E7),Datos!Y8*100/(Datos!H8/Datos!D8*100*Datos!E8),Datos!Y9*100/(Datos!H9/Datos!D9*100*Datos!E9),Datos!Y10*100/(Datos!H10/Datos!D10*100*Datos!E10),Datos!Y11*100/(Datos!H11/Datos!D11*100*Datos!E11))</f>
        <v>2.9231802522799932</v>
      </c>
      <c r="D5" s="4">
        <f>Datos!Y11*100/(Datos!H11/Datos!D11*100*Datos!E11)</f>
        <v>1.9761993176409929</v>
      </c>
      <c r="E5" s="4">
        <f>Datos!Y10*100/(Datos!H10/Datos!D10*100*Datos!E10)</f>
        <v>2.5394151510396932</v>
      </c>
      <c r="F5" s="9" t="str">
        <f t="shared" si="0"/>
        <v>▼ Baja</v>
      </c>
    </row>
    <row r="6" spans="1:6" ht="27.75" customHeight="1" x14ac:dyDescent="0.25">
      <c r="A6" s="6" t="s">
        <v>65</v>
      </c>
      <c r="B6" s="7" t="s">
        <v>66</v>
      </c>
      <c r="C6" s="8">
        <f>AVERAGE(Datos!I3/(Datos!I3+Datos!O3),Datos!I4/(Datos!I4+Datos!O4),Datos!I5/(Datos!I5+Datos!O5),Datos!I7/(Datos!I7+Datos!O7),Datos!I8/(Datos!I8+Datos!O8),Datos!I9/(Datos!I9+Datos!O9),Datos!I10/(Datos!I10+Datos!O10),Datos!I11/(Datos!I11+Datos!O11))*100</f>
        <v>81.775632275768046</v>
      </c>
      <c r="D6" s="4">
        <f>Datos!I11/(Datos!I11+Datos!O11)*100</f>
        <v>83.264887063655038</v>
      </c>
      <c r="E6" s="4">
        <f>Datos!I10/(Datos!I10+Datos!O10)*100</f>
        <v>74.242424242424249</v>
      </c>
      <c r="F6" s="9" t="str">
        <f t="shared" si="0"/>
        <v>▲ Mejora</v>
      </c>
    </row>
    <row r="7" spans="1:6" ht="27.75" customHeight="1" x14ac:dyDescent="0.25">
      <c r="A7" s="6" t="s">
        <v>67</v>
      </c>
      <c r="B7" s="7" t="s">
        <v>68</v>
      </c>
      <c r="C7" s="8">
        <f>AVERAGE(Datos!Q3/(Datos!K3+Datos!Q3),Datos!Q4/(Datos!K4+Datos!Q4),Datos!Q5/(Datos!K5+Datos!Q5),Datos!Q7/(Datos!K7+Datos!Q7),Datos!Q8/(Datos!K8+Datos!Q8),Datos!Q9/(Datos!K9+Datos!Q9),Datos!Q10/(Datos!K10+Datos!Q10),Datos!Q11/(Datos!K11+Datos!Q11))*100</f>
        <v>45.729494632516193</v>
      </c>
      <c r="D7" s="4">
        <f>Datos!Q11/(Datos!K11+Datos!Q11)*100</f>
        <v>35.479543930248155</v>
      </c>
      <c r="E7" s="4">
        <f>Datos!Q10/(Datos!K10+Datos!Q10)*100</f>
        <v>50.222717149220486</v>
      </c>
      <c r="F7" s="9" t="str">
        <f t="shared" si="0"/>
        <v>▼ Baja</v>
      </c>
    </row>
    <row r="8" spans="1:6" ht="27.75" customHeight="1" x14ac:dyDescent="0.25">
      <c r="A8" s="6" t="s">
        <v>69</v>
      </c>
      <c r="B8" s="7" t="s">
        <v>70</v>
      </c>
      <c r="C8" s="8">
        <f>AVERAGE(Datos!V3:V11)</f>
        <v>32.631778187454401</v>
      </c>
      <c r="D8" s="4">
        <f>Datos!V11</f>
        <v>24.861878453038674</v>
      </c>
      <c r="E8" s="4">
        <f>Datos!V10</f>
        <v>41.911764705882348</v>
      </c>
      <c r="F8" s="9" t="str">
        <f t="shared" si="0"/>
        <v>▼ Baja</v>
      </c>
    </row>
    <row r="9" spans="1:6" ht="27.75" customHeight="1" x14ac:dyDescent="0.25">
      <c r="A9" s="6" t="s">
        <v>71</v>
      </c>
      <c r="B9" s="7" t="s">
        <v>72</v>
      </c>
      <c r="C9" s="8">
        <f>AVERAGE(Datos!F3/Datos!D3,Datos!F4/Datos!D4,Datos!F5/Datos!D5,Datos!F7/Datos!D7,Datos!F8/Datos!D8,Datos!F9/Datos!D9,Datos!F10/Datos!D10,Datos!F11/Datos!D11)*100</f>
        <v>19.194594822881651</v>
      </c>
      <c r="D9" s="4">
        <f>Datos!F11/Datos!D11*100</f>
        <v>17.589264318236271</v>
      </c>
      <c r="E9" s="4">
        <f>Datos!F10/Datos!D10*100</f>
        <v>9.3333333333333233</v>
      </c>
      <c r="F9" s="9" t="str">
        <f t="shared" si="0"/>
        <v>▲ Mejora</v>
      </c>
    </row>
    <row r="10" spans="1:6" ht="27.75" customHeight="1" x14ac:dyDescent="0.25">
      <c r="A10" s="6" t="s">
        <v>73</v>
      </c>
      <c r="B10" s="7" t="s">
        <v>74</v>
      </c>
      <c r="C10" s="8">
        <f>AVERAGE(Datos!K3/Datos!H3,Datos!K4/Datos!H4,Datos!K5/Datos!H5,Datos!K7/Datos!H7,Datos!K8/Datos!H8,Datos!K9/Datos!H9,Datos!K10/Datos!H10,Datos!K11/Datos!H11)*100</f>
        <v>40.571714088327788</v>
      </c>
      <c r="D10" s="4">
        <f>Datos!K11/Datos!H11*100</f>
        <v>37.22910216718266</v>
      </c>
      <c r="E10" s="4">
        <f>Datos!K10/Datos!H10*100</f>
        <v>56.582278481012651</v>
      </c>
      <c r="F10" s="9" t="str">
        <f t="shared" si="0"/>
        <v>▼ Baja</v>
      </c>
    </row>
    <row r="11" spans="1:6" ht="27.75" customHeight="1" x14ac:dyDescent="0.25">
      <c r="A11" s="6" t="s">
        <v>75</v>
      </c>
      <c r="B11" s="7" t="s">
        <v>76</v>
      </c>
      <c r="C11" s="8">
        <f>AVERAGE(Datos!O3/Datos!N3,Datos!O4/Datos!N4,Datos!O5/Datos!N5,Datos!O7/Datos!N7,Datos!O8/Datos!N8,Datos!O9/Datos!N9,Datos!O10/Datos!N10,Datos!O11/Datos!N11)*100</f>
        <v>28.248187325290981</v>
      </c>
      <c r="D11" s="4">
        <f>Datos!O11/Datos!N11*100</f>
        <v>38.12865497076023</v>
      </c>
      <c r="E11" s="4">
        <f>Datos!O10/Datos!N10*100</f>
        <v>20.877192982456137</v>
      </c>
      <c r="F11" s="9" t="str">
        <f t="shared" si="0"/>
        <v>▲ Mejora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843"/>
  </sheetPr>
  <dimension ref="A1:O32"/>
  <sheetViews>
    <sheetView topLeftCell="E1" zoomScaleNormal="100" workbookViewId="0">
      <selection activeCell="L14" sqref="L14"/>
    </sheetView>
  </sheetViews>
  <sheetFormatPr baseColWidth="10" defaultColWidth="8.7109375" defaultRowHeight="15" x14ac:dyDescent="0.25"/>
  <cols>
    <col min="1" max="15" width="18" customWidth="1"/>
  </cols>
  <sheetData>
    <row r="1" spans="1:15" ht="15" customHeight="1" x14ac:dyDescent="0.25">
      <c r="A1" s="45" t="s">
        <v>77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5" ht="24" x14ac:dyDescent="0.25">
      <c r="A2" s="10" t="s">
        <v>0</v>
      </c>
      <c r="B2" s="10" t="s">
        <v>78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45</v>
      </c>
      <c r="H2" s="10" t="s">
        <v>83</v>
      </c>
      <c r="I2" s="10" t="s">
        <v>84</v>
      </c>
      <c r="J2" s="10" t="s">
        <v>85</v>
      </c>
      <c r="K2" s="10" t="s">
        <v>86</v>
      </c>
      <c r="L2" s="10" t="s">
        <v>87</v>
      </c>
      <c r="M2" s="10" t="s">
        <v>88</v>
      </c>
      <c r="N2" s="10" t="s">
        <v>89</v>
      </c>
      <c r="O2" s="10" t="s">
        <v>90</v>
      </c>
    </row>
    <row r="3" spans="1:15" x14ac:dyDescent="0.25">
      <c r="A3" s="2" t="str">
        <f>Datos!A3</f>
        <v>IM-SO-23</v>
      </c>
      <c r="B3" s="4">
        <f>Datos!AA3*100</f>
        <v>91.259435566133973</v>
      </c>
      <c r="C3" s="3">
        <f>Datos!Y3</f>
        <v>3.1725059101654844</v>
      </c>
      <c r="D3" s="3">
        <f>Datos!Z3</f>
        <v>1.5301190476190476</v>
      </c>
      <c r="E3" s="3">
        <f>Datos!E3</f>
        <v>2.9003944773175543</v>
      </c>
      <c r="F3" s="4">
        <f>IF(Datos!D3=0,0,Datos!F3/Datos!D3*100)</f>
        <v>39.099099099099085</v>
      </c>
      <c r="G3" s="4">
        <f>IF(Datos!H3/Datos!D3*100*Datos!E3=0,0,Datos!Y3*100/(Datos!H3/Datos!D3*100*Datos!E3))</f>
        <v>2.1527284238533109</v>
      </c>
      <c r="H3" s="4">
        <f>IF(Datos!I3+Datos!O3=0,0,Datos!I3/(Datos!I3+Datos!O3)*100)</f>
        <v>83.936651583710415</v>
      </c>
      <c r="I3" s="4">
        <f>IF(Datos!K3+Datos!Q3=0,0,Datos!Q3/(Datos!K3+Datos!Q3)*100)</f>
        <v>15.66265060240964</v>
      </c>
      <c r="J3" s="4">
        <f>IF(Datos!H3=0,0,Datos!K3/Datos!H3*100)</f>
        <v>16.54846335697399</v>
      </c>
      <c r="K3" s="4">
        <f>IF(Datos!N3=0,0,Datos!O3/Datos!N3*100)</f>
        <v>84.523809523809518</v>
      </c>
      <c r="L3" s="4">
        <f>IF(Datos!H3=0,0,Datos!I3/Datos!H3*100)</f>
        <v>87.70685579196217</v>
      </c>
      <c r="M3" s="4">
        <f>IF(Datos!H3=0,0,Datos!K3/Datos!H3*100)</f>
        <v>16.54846335697399</v>
      </c>
      <c r="N3" s="4">
        <f>IF(Datos!N3=0,0,Datos!O3/Datos!N3*100)</f>
        <v>84.523809523809518</v>
      </c>
      <c r="O3" s="4">
        <f>IF(Datos!N3=0,0,Datos!Q3/Datos!N3*100)</f>
        <v>15.476190476190476</v>
      </c>
    </row>
    <row r="4" spans="1:15" x14ac:dyDescent="0.25">
      <c r="A4" s="2" t="str">
        <f>Datos!A4</f>
        <v>IM-SO-24</v>
      </c>
      <c r="B4" s="4">
        <f>Datos!AA4*100</f>
        <v>89.207149694084507</v>
      </c>
      <c r="C4" s="3">
        <f>Datos!Y4</f>
        <v>5.0269076714188721</v>
      </c>
      <c r="D4" s="3">
        <f>Datos!Z4</f>
        <v>0.64127415891195405</v>
      </c>
      <c r="E4" s="3">
        <f>Datos!E4</f>
        <v>2.8921585365853653</v>
      </c>
      <c r="F4" s="4">
        <f>IF(Datos!D4=0,0,Datos!F4/Datos!D4*100)</f>
        <v>8.7440381558028513</v>
      </c>
      <c r="G4" s="4">
        <f>IF(Datos!H4/Datos!D4*100*Datos!E4=0,0,Datos!Y4*100/(Datos!H4/Datos!D4*100*Datos!E4))</f>
        <v>3.7110492333893355</v>
      </c>
      <c r="H4" s="4">
        <f>IF(Datos!I4+Datos!O4=0,0,Datos!I4/(Datos!I4+Datos!O4)*100)</f>
        <v>77.405857740585773</v>
      </c>
      <c r="I4" s="4">
        <f>IF(Datos!K4+Datos!Q4=0,0,Datos!Q4/(Datos!K4+Datos!Q4)*100)</f>
        <v>62.994522215459526</v>
      </c>
      <c r="J4" s="4">
        <f>IF(Datos!H4=0,0,Datos!K4/Datos!H4*100)</f>
        <v>41.276306856754921</v>
      </c>
      <c r="K4" s="4">
        <f>IF(Datos!N4=0,0,Datos!O4/Datos!N4*100)</f>
        <v>13.528990694345024</v>
      </c>
      <c r="L4" s="4">
        <f>IF(Datos!H4=0,0,Datos!I4/Datos!H4*100)</f>
        <v>43.957909029192123</v>
      </c>
      <c r="M4" s="4">
        <f>IF(Datos!H4=0,0,Datos!K4/Datos!H4*100)</f>
        <v>41.276306856754921</v>
      </c>
      <c r="N4" s="4">
        <f>IF(Datos!N4=0,0,Datos!O4/Datos!N4*100)</f>
        <v>13.528990694345024</v>
      </c>
      <c r="O4" s="4">
        <f>IF(Datos!N4=0,0,Datos!Q4/Datos!N4*100)</f>
        <v>74.087329992841802</v>
      </c>
    </row>
    <row r="5" spans="1:15" x14ac:dyDescent="0.25">
      <c r="A5" s="2" t="str">
        <f>Datos!A5</f>
        <v>IM-SO-25</v>
      </c>
      <c r="B5" s="4">
        <f>Datos!AA5*100</f>
        <v>96.864022534081499</v>
      </c>
      <c r="C5" s="3">
        <f>Datos!Y5</f>
        <v>3.4022317772317767</v>
      </c>
      <c r="D5" s="3">
        <f>Datos!Z5</f>
        <v>0.18640332640332641</v>
      </c>
      <c r="E5" s="3">
        <f>Datos!E5</f>
        <v>2.20778120978121</v>
      </c>
      <c r="F5" s="4">
        <f>IF(Datos!D5=0,0,Datos!F5/Datos!D5*100)</f>
        <v>19.213973799126641</v>
      </c>
      <c r="G5" s="4">
        <f>IF(Datos!H5/Datos!D5*100*Datos!E5=0,0,Datos!Y5*100/(Datos!H5/Datos!D5*100*Datos!E5))</f>
        <v>3.0347085013818638</v>
      </c>
      <c r="H5" s="4">
        <f>IF(Datos!I5+Datos!O5=0,0,Datos!I5/(Datos!I5+Datos!O5)*100)</f>
        <v>85.817199459702849</v>
      </c>
      <c r="I5" s="4">
        <f>IF(Datos!K5+Datos!Q5=0,0,Datos!Q5/(Datos!K5+Datos!Q5)*100)</f>
        <v>74.274193548387103</v>
      </c>
      <c r="J5" s="4">
        <f>IF(Datos!H5=0,0,Datos!K5/Datos!H5*100)</f>
        <v>13.063063063063062</v>
      </c>
      <c r="K5" s="4">
        <f>IF(Datos!N5=0,0,Datos!O5/Datos!N5*100)</f>
        <v>21.829521829521827</v>
      </c>
      <c r="L5" s="4">
        <f>IF(Datos!H5=0,0,Datos!I5/Datos!H5*100)</f>
        <v>78.050778050778035</v>
      </c>
      <c r="M5" s="4">
        <f>IF(Datos!H5=0,0,Datos!K5/Datos!H5*100)</f>
        <v>13.063063063063062</v>
      </c>
      <c r="N5" s="4">
        <f>IF(Datos!N5=0,0,Datos!O5/Datos!N5*100)</f>
        <v>21.829521829521827</v>
      </c>
      <c r="O5" s="4">
        <f>IF(Datos!N5=0,0,Datos!Q5/Datos!N5*100)</f>
        <v>63.825363825363837</v>
      </c>
    </row>
    <row r="6" spans="1:15" x14ac:dyDescent="0.25">
      <c r="A6" s="2" t="str">
        <f>Datos!A7</f>
        <v>IM-SO-27</v>
      </c>
      <c r="B6" s="4">
        <f>Datos!AA7*100</f>
        <v>77.430152848104257</v>
      </c>
      <c r="C6" s="3">
        <f>Datos!Y7</f>
        <v>5.150195121951219</v>
      </c>
      <c r="D6" s="3">
        <f>Datos!Z7</f>
        <v>1.0632971372161892</v>
      </c>
      <c r="E6" s="3">
        <f>Datos!E7</f>
        <v>2.7578069921987867</v>
      </c>
      <c r="F6" s="4">
        <f>IF(Datos!D7=0,0,Datos!F7/Datos!D7*100)</f>
        <v>31.465346534653467</v>
      </c>
      <c r="G6" s="4">
        <f>IF(Datos!H7/Datos!D7*100*Datos!E7=0,0,Datos!Y7*100/(Datos!H7/Datos!D7*100*Datos!E7))</f>
        <v>6.5720262865243395</v>
      </c>
      <c r="H6" s="4">
        <f>IF(Datos!I7+Datos!O7=0,0,Datos!I7/(Datos!I7+Datos!O7)*100)</f>
        <v>63.178807947019862</v>
      </c>
      <c r="I6" s="4">
        <f>IF(Datos!K7+Datos!Q7=0,0,Datos!Q7/(Datos!K7+Datos!Q7)*100)</f>
        <v>75.345976422347519</v>
      </c>
      <c r="J6" s="4">
        <f>IF(Datos!H7=0,0,Datos!K7/Datos!H7*100)</f>
        <v>33.519163763066203</v>
      </c>
      <c r="K6" s="4">
        <f>IF(Datos!N7=0,0,Datos!O7/Datos!N7*100)</f>
        <v>27.443237907206314</v>
      </c>
      <c r="L6" s="4">
        <f>IF(Datos!H7=0,0,Datos!I7/Datos!H7*100)</f>
        <v>66.480836236933797</v>
      </c>
      <c r="M6" s="4">
        <f>IF(Datos!H7=0,0,Datos!K7/Datos!H7*100)</f>
        <v>33.519163763066203</v>
      </c>
      <c r="N6" s="4">
        <f>IF(Datos!N7=0,0,Datos!O7/Datos!N7*100)</f>
        <v>27.443237907206314</v>
      </c>
      <c r="O6" s="4">
        <f>IF(Datos!N7=0,0,Datos!Q7/Datos!N7*100)</f>
        <v>72.556762092793676</v>
      </c>
    </row>
    <row r="7" spans="1:15" x14ac:dyDescent="0.25">
      <c r="A7" s="2" t="str">
        <f>Datos!A8</f>
        <v>IM-SO-28</v>
      </c>
      <c r="B7" s="4">
        <f>Datos!AA8*100</f>
        <v>92.535090732551922</v>
      </c>
      <c r="C7" s="3">
        <f>Datos!Y8</f>
        <v>1.4122060606060607</v>
      </c>
      <c r="D7" s="3">
        <f>Datos!Z8</f>
        <v>0.37860020140986911</v>
      </c>
      <c r="E7" s="3">
        <f>Datos!E8</f>
        <v>1.1731260191008619</v>
      </c>
      <c r="F7" s="4">
        <f>IF(Datos!D8=0,0,Datos!F8/Datos!D8*100)</f>
        <v>10.729881472239558</v>
      </c>
      <c r="G7" s="4">
        <f>IF(Datos!H8/Datos!D8*100*Datos!E8=0,0,Datos!Y8*100/(Datos!H8/Datos!D8*100*Datos!E8))</f>
        <v>1.7542611312873202</v>
      </c>
      <c r="H7" s="4">
        <f>IF(Datos!I8+Datos!O8=0,0,Datos!I8/(Datos!I8+Datos!O8)*100)</f>
        <v>89.615699100572371</v>
      </c>
      <c r="I7" s="4">
        <f>IF(Datos!K8+Datos!Q8=0,0,Datos!Q8/(Datos!K8+Datos!Q8)*100)</f>
        <v>28.208469055374596</v>
      </c>
      <c r="J7" s="4">
        <f>IF(Datos!H8=0,0,Datos!K8/Datos!H8*100)</f>
        <v>66.787878787878782</v>
      </c>
      <c r="K7" s="4">
        <f>IF(Datos!N8=0,0,Datos!O8/Datos!N8*100)</f>
        <v>12.789526686807653</v>
      </c>
      <c r="L7" s="4">
        <f>IF(Datos!H8=0,0,Datos!I8/Datos!H8*100)</f>
        <v>33.212121212121218</v>
      </c>
      <c r="M7" s="4">
        <f>IF(Datos!H8=0,0,Datos!K8/Datos!H8*100)</f>
        <v>66.787878787878782</v>
      </c>
      <c r="N7" s="4">
        <f>IF(Datos!N8=0,0,Datos!O8/Datos!N8*100)</f>
        <v>12.789526686807653</v>
      </c>
      <c r="O7" s="4">
        <f>IF(Datos!N8=0,0,Datos!Q8/Datos!N8*100)</f>
        <v>87.210473313192352</v>
      </c>
    </row>
    <row r="8" spans="1:15" x14ac:dyDescent="0.25">
      <c r="A8" s="2" t="str">
        <f>Datos!A9</f>
        <v>IM-SO-29</v>
      </c>
      <c r="B8" s="4">
        <f>Datos!AA9*100</f>
        <v>94.658899226893993</v>
      </c>
      <c r="C8" s="3">
        <f>Datos!Y9</f>
        <v>2.0952561424157716</v>
      </c>
      <c r="D8" s="3">
        <f>Datos!Z9</f>
        <v>0.59634137291280154</v>
      </c>
      <c r="E8" s="3">
        <f>Datos!E9</f>
        <v>1.8472620787034195</v>
      </c>
      <c r="F8" s="4">
        <f>IF(Datos!D9=0,0,Datos!F9/Datos!D9*100)</f>
        <v>17.381821870561986</v>
      </c>
      <c r="G8" s="4">
        <f>IF(Datos!H9/Datos!D9*100*Datos!E9=0,0,Datos!Y9*100/(Datos!H9/Datos!D9*100*Datos!E9))</f>
        <v>1.645053973123088</v>
      </c>
      <c r="H8" s="4">
        <f>IF(Datos!I9+Datos!O9=0,0,Datos!I9/(Datos!I9+Datos!O9)*100)</f>
        <v>96.743531068473857</v>
      </c>
      <c r="I8" s="4">
        <f>IF(Datos!K9+Datos!Q9=0,0,Datos!Q9/(Datos!K9+Datos!Q9)*100)</f>
        <v>23.647884136682507</v>
      </c>
      <c r="J8" s="4">
        <f>IF(Datos!H9=0,0,Datos!K9/Datos!H9*100)</f>
        <v>59.567456230690006</v>
      </c>
      <c r="K8" s="4">
        <f>IF(Datos!N9=0,0,Datos!O9/Datos!N9*100)</f>
        <v>6.8645640074211505</v>
      </c>
      <c r="L8" s="4">
        <f>IF(Datos!H9=0,0,Datos!I9/Datos!H9*100)</f>
        <v>40.42960129468883</v>
      </c>
      <c r="M8" s="4">
        <f>IF(Datos!H9=0,0,Datos!K9/Datos!H9*100)</f>
        <v>59.567456230690006</v>
      </c>
      <c r="N8" s="4">
        <f>IF(Datos!N9=0,0,Datos!O9/Datos!N9*100)</f>
        <v>6.8645640074211505</v>
      </c>
      <c r="O8" s="4">
        <f>IF(Datos!N9=0,0,Datos!Q9/Datos!N9*100)</f>
        <v>93.061224489795919</v>
      </c>
    </row>
    <row r="9" spans="1:15" x14ac:dyDescent="0.25">
      <c r="A9" s="2" t="str">
        <f>Datos!A10</f>
        <v>IM-SO-31</v>
      </c>
      <c r="B9" s="4">
        <f>Datos!AA10*100</f>
        <v>77.688676262934948</v>
      </c>
      <c r="C9" s="3">
        <f>Datos!Y10</f>
        <v>1.8664556962025316</v>
      </c>
      <c r="D9" s="3">
        <f>Datos!Z10</f>
        <v>0.74291228070175441</v>
      </c>
      <c r="E9" s="3">
        <f>Datos!E10</f>
        <v>1.3955588235294116</v>
      </c>
      <c r="F9" s="4">
        <f>IF(Datos!D10=0,0,Datos!F10/Datos!D10*100)</f>
        <v>9.3333333333333233</v>
      </c>
      <c r="G9" s="4">
        <f>IF(Datos!H10/Datos!D10*100*Datos!E10=0,0,Datos!Y10*100/(Datos!H10/Datos!D10*100*Datos!E10))</f>
        <v>2.5394151510396932</v>
      </c>
      <c r="H9" s="4">
        <f>IF(Datos!I10+Datos!O10=0,0,Datos!I10/(Datos!I10+Datos!O10)*100)</f>
        <v>74.242424242424249</v>
      </c>
      <c r="I9" s="4">
        <f>IF(Datos!K10+Datos!Q10=0,0,Datos!Q10/(Datos!K10+Datos!Q10)*100)</f>
        <v>50.222717149220486</v>
      </c>
      <c r="J9" s="4">
        <f>IF(Datos!H10=0,0,Datos!K10/Datos!H10*100)</f>
        <v>56.582278481012651</v>
      </c>
      <c r="K9" s="4">
        <f>IF(Datos!N10=0,0,Datos!O10/Datos!N10*100)</f>
        <v>20.877192982456137</v>
      </c>
      <c r="L9" s="4">
        <f>IF(Datos!H10=0,0,Datos!I10/Datos!H10*100)</f>
        <v>43.417721518987342</v>
      </c>
      <c r="M9" s="4">
        <f>IF(Datos!H10=0,0,Datos!K10/Datos!H10*100)</f>
        <v>56.582278481012651</v>
      </c>
      <c r="N9" s="4">
        <f>IF(Datos!N10=0,0,Datos!O10/Datos!N10*100)</f>
        <v>20.877192982456137</v>
      </c>
      <c r="O9" s="4">
        <f>IF(Datos!N10=0,0,Datos!Q10/Datos!N10*100)</f>
        <v>79.122807017543849</v>
      </c>
    </row>
    <row r="10" spans="1:15" x14ac:dyDescent="0.25">
      <c r="A10" s="2" t="str">
        <f>Datos!A11</f>
        <v>IM-SO-32</v>
      </c>
      <c r="B10" s="4">
        <f>Datos!AA11*100</f>
        <v>91.946500192988651</v>
      </c>
      <c r="C10" s="3">
        <f>Datos!Y11</f>
        <v>1.0601780185758514</v>
      </c>
      <c r="D10" s="3">
        <f>Datos!Z11</f>
        <v>0.28064327485380114</v>
      </c>
      <c r="E10" s="3">
        <f>Datos!E11</f>
        <v>0.86637103809246874</v>
      </c>
      <c r="F10" s="4">
        <f>IF(Datos!D11=0,0,Datos!F11/Datos!D11*100)</f>
        <v>17.589264318236271</v>
      </c>
      <c r="G10" s="4">
        <f>IF(Datos!H11/Datos!D11*100*Datos!E11=0,0,Datos!Y11*100/(Datos!H11/Datos!D11*100*Datos!E11))</f>
        <v>1.9761993176409929</v>
      </c>
      <c r="H10" s="4">
        <f>IF(Datos!I11+Datos!O11=0,0,Datos!I11/(Datos!I11+Datos!O11)*100)</f>
        <v>83.264887063655038</v>
      </c>
      <c r="I10" s="4">
        <f>IF(Datos!K11+Datos!Q11=0,0,Datos!Q11/(Datos!K11+Datos!Q11)*100)</f>
        <v>35.479543930248155</v>
      </c>
      <c r="J10" s="4">
        <f>IF(Datos!H11=0,0,Datos!K11/Datos!H11*100)</f>
        <v>37.22910216718266</v>
      </c>
      <c r="K10" s="4">
        <f>IF(Datos!N11=0,0,Datos!O11/Datos!N11*100)</f>
        <v>38.12865497076023</v>
      </c>
      <c r="L10" s="4">
        <f>IF(Datos!H11=0,0,Datos!I11/Datos!H11*100)</f>
        <v>62.770897832817326</v>
      </c>
      <c r="M10" s="4">
        <f>IF(Datos!H11=0,0,Datos!K11/Datos!H11*100)</f>
        <v>37.22910216718266</v>
      </c>
      <c r="N10" s="4">
        <f>IF(Datos!N11=0,0,Datos!O11/Datos!N11*100)</f>
        <v>38.12865497076023</v>
      </c>
      <c r="O10" s="4">
        <f>IF(Datos!N11=0,0,Datos!Q11/Datos!N11*100)</f>
        <v>61.871345029239762</v>
      </c>
    </row>
    <row r="12" spans="1:15" x14ac:dyDescent="0.25">
      <c r="A12" s="11" t="s">
        <v>91</v>
      </c>
    </row>
    <row r="13" spans="1:15" x14ac:dyDescent="0.25">
      <c r="A13" s="12" t="s">
        <v>26</v>
      </c>
      <c r="B13" s="12" t="s">
        <v>92</v>
      </c>
    </row>
    <row r="14" spans="1:15" x14ac:dyDescent="0.25">
      <c r="A14" s="2" t="s">
        <v>31</v>
      </c>
      <c r="B14" s="13">
        <f>AVERAGEIF(Datos!AC3:AC11,"ONE_CLASS",Datos!AA3:AA11)*100</f>
        <v>84.874684909448547</v>
      </c>
    </row>
    <row r="15" spans="1:15" x14ac:dyDescent="0.25">
      <c r="A15" s="2" t="s">
        <v>35</v>
      </c>
      <c r="B15" s="13">
        <f>AVERAGEIF(Datos!AC3:AC11,"BZA-V1-CH-0,43%",Datos!AA3:AA11)*100</f>
        <v>88.208047602516743</v>
      </c>
    </row>
    <row r="16" spans="1:15" ht="25.5" x14ac:dyDescent="0.25">
      <c r="A16" s="2" t="s">
        <v>40</v>
      </c>
      <c r="B16" s="13">
        <f>AVERAGEIF(Datos!AC3:AC11,"TNGL-V1-GRN35-0,4%-HR-WR",Datos!AA3:AA11)*100</f>
        <v>84.817588227961792</v>
      </c>
    </row>
    <row r="18" spans="1:3" x14ac:dyDescent="0.25">
      <c r="A18" s="11" t="s">
        <v>93</v>
      </c>
    </row>
    <row r="19" spans="1:3" x14ac:dyDescent="0.25">
      <c r="A19" s="12" t="s">
        <v>94</v>
      </c>
      <c r="B19" s="12" t="s">
        <v>95</v>
      </c>
    </row>
    <row r="20" spans="1:3" x14ac:dyDescent="0.25">
      <c r="A20" s="2" t="s">
        <v>96</v>
      </c>
      <c r="B20" s="14">
        <f>Datos!D11</f>
        <v>83.46</v>
      </c>
    </row>
    <row r="21" spans="1:3" x14ac:dyDescent="0.25">
      <c r="A21" s="2" t="s">
        <v>97</v>
      </c>
      <c r="B21" s="14">
        <f>Datos!F11</f>
        <v>14.679999999999993</v>
      </c>
    </row>
    <row r="22" spans="1:3" x14ac:dyDescent="0.25">
      <c r="A22" s="2" t="s">
        <v>98</v>
      </c>
      <c r="B22" s="14">
        <f>Datos!I11</f>
        <v>32.44</v>
      </c>
    </row>
    <row r="23" spans="1:3" x14ac:dyDescent="0.25">
      <c r="A23" s="2" t="s">
        <v>99</v>
      </c>
      <c r="B23" s="14">
        <f>Datos!K11</f>
        <v>19.239999999999998</v>
      </c>
    </row>
    <row r="24" spans="1:3" x14ac:dyDescent="0.25">
      <c r="A24" s="2" t="s">
        <v>100</v>
      </c>
      <c r="B24" s="14">
        <f>Datos!O11</f>
        <v>6.52</v>
      </c>
    </row>
    <row r="25" spans="1:3" x14ac:dyDescent="0.25">
      <c r="A25" s="2" t="s">
        <v>101</v>
      </c>
      <c r="B25" s="14">
        <f>Datos!Q11</f>
        <v>10.58</v>
      </c>
    </row>
    <row r="32" spans="1:3" ht="15.75" x14ac:dyDescent="0.25">
      <c r="A32" s="46"/>
      <c r="B32" s="46"/>
      <c r="C32" s="20"/>
    </row>
  </sheetData>
  <mergeCells count="2">
    <mergeCell ref="A1:N1"/>
    <mergeCell ref="A32:B3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Dashboard</vt:lpstr>
      <vt:lpstr>KPIs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Josué  Escalante</cp:lastModifiedBy>
  <cp:revision>1</cp:revision>
  <dcterms:created xsi:type="dcterms:W3CDTF">2026-05-28T19:52:33Z</dcterms:created>
  <dcterms:modified xsi:type="dcterms:W3CDTF">2026-06-03T13:17:16Z</dcterms:modified>
  <dc:language>en-US</dc:language>
</cp:coreProperties>
</file>